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comments+xml" PartName="/xl/comments/comment1.xml"/>
  <Override ContentType="application/vnd.openxmlformats-officedocument.spreadsheetml.worksheet+xml" PartName="/xl/worksheets/sheet2.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0" autoFilterDateGrouping="1" firstSheet="0" minimized="0" showHorizontalScroll="1" showSheetTabs="1" showVerticalScroll="1" tabRatio="600" visibility="visible" windowHeight="9420" windowWidth="19140" xWindow="0" yWindow="0"/>
  </bookViews>
  <sheets>
    <sheet xmlns:r="http://schemas.openxmlformats.org/officeDocument/2006/relationships" name="Daniels Tables" sheetId="1" state="visible" r:id="rId1"/>
    <sheet xmlns:r="http://schemas.openxmlformats.org/officeDocument/2006/relationships" name="Instructions" sheetId="2" state="visible" r:id="rId2"/>
  </sheets>
  <definedNames>
    <definedName hidden="1" name="AccessDatabase">"G:\My Documents\runlog.mdb"</definedName>
    <definedName name="DailyRange">#REF!</definedName>
    <definedName localSheetId="1" name="dist">IF(dist_pref="Miles",miles,kilometers)</definedName>
    <definedName name="dist">IF(dist_pref="Miles",miles,kilometers)</definedName>
    <definedName name="dist?">IF(dist_pref="Miles",miles,kilometers)</definedName>
    <definedName name="WeeklyRange">#REF!</definedName>
  </definedNames>
  <calcPr calcId="152511" fullCalcOnLoad="1"/>
</workbook>
</file>

<file path=xl/styles.xml><?xml version="1.0" encoding="utf-8"?>
<styleSheet xmlns="http://schemas.openxmlformats.org/spreadsheetml/2006/main">
  <numFmts count="61">
    <numFmt formatCode="m:ss" numFmtId="164"/>
    <numFmt formatCode="#.0##" numFmtId="165"/>
    <numFmt formatCode="m:ss\ &quot;mile&quot;" numFmtId="166"/>
    <numFmt formatCode="m:ss\ &quot;km&quot;" numFmtId="167"/>
    <numFmt formatCode="0.0#&quot;k&quot;" numFmtId="168"/>
    <numFmt formatCode="0.00000" numFmtId="169"/>
    <numFmt formatCode="0.0" numFmtId="170"/>
    <numFmt formatCode="&quot;% V02max = &quot;0.0.%" numFmtId="171"/>
    <numFmt formatCode="0.0%" numFmtId="172"/>
    <numFmt formatCode="0.0000000" numFmtId="173"/>
    <numFmt formatCode="m:ss.000" numFmtId="174"/>
    <numFmt formatCode="0.000" numFmtId="175"/>
    <numFmt formatCode="0.0000" numFmtId="176"/>
    <numFmt formatCode="0.0\ \ \ \ " numFmtId="177"/>
    <numFmt formatCode="0.000000" numFmtId="178"/>
    <numFmt formatCode="0\ &quot;min&quot;" numFmtId="179"/>
    <numFmt formatCode="[h]:mm" numFmtId="180"/>
    <numFmt formatCode="[m]:ss" numFmtId="181"/>
    <numFmt formatCode="[h]:mm:ss;@" numFmtId="182"/>
    <numFmt formatCode="[m]:ss;@" numFmtId="183"/>
    <numFmt formatCode="[m]:ss.0\ &quot;avg&quot;" numFmtId="184"/>
    <numFmt formatCode="0\ &quot;Splits&quot;" numFmtId="185"/>
    <numFmt formatCode="&quot;x&quot;\ 0.0" numFmtId="186"/>
    <numFmt formatCode="&quot;-&quot;\ h:mm:ss" numFmtId="187"/>
    <numFmt formatCode="&quot;(vdot &quot;\ 0.0&quot;)&quot;" numFmtId="188"/>
    <numFmt formatCode="&quot;Age&quot;\ \ 0" numFmtId="189"/>
    <numFmt formatCode="&quot;VDOT  =  &quot;0.0" numFmtId="190"/>
    <numFmt formatCode="&quot;VDOT - &quot;0.0" numFmtId="191"/>
    <numFmt formatCode="m:ss\ &quot;/mi&quot;" numFmtId="192"/>
    <numFmt formatCode="m:ss\ &quot;/km&quot;" numFmtId="193"/>
    <numFmt formatCode="0\°" numFmtId="194"/>
    <numFmt formatCode="0.0\ &quot;Mi&quot;" numFmtId="195"/>
    <numFmt formatCode="[h]:mm\ &quot;/mi&quot;" numFmtId="196"/>
    <numFmt formatCode="0.0\ &quot;lb&quot;" numFmtId="197"/>
    <numFmt formatCode="0.0\ &quot;in&quot;" numFmtId="198"/>
    <numFmt formatCode="0.0\ &quot;km&quot;" numFmtId="199"/>
    <numFmt formatCode="[h]:mm\ &quot;/km&quot;" numFmtId="200"/>
    <numFmt formatCode="0.0\ &quot;kg&quot;" numFmtId="201"/>
    <numFmt formatCode="0.0\ &quot;cm&quot;" numFmtId="202"/>
    <numFmt formatCode="0\ &quot;sec&quot;" numFmtId="203"/>
    <numFmt formatCode="0.00\ &quot;mph&quot;" numFmtId="204"/>
    <numFmt formatCode="0.00\ &quot;kph&quot;" numFmtId="205"/>
    <numFmt formatCode="&quot;BMI - &quot;0.00" numFmtId="206"/>
    <numFmt formatCode="&quot;BMI&quot;\ \ 0.00" numFmtId="207"/>
    <numFmt formatCode="&quot;VDOT = &quot;0.00" numFmtId="208"/>
    <numFmt formatCode="&quot;Miles - &quot;0.00000" numFmtId="209"/>
    <numFmt formatCode="&quot;Meters -&quot;\ 0.0" numFmtId="210"/>
    <numFmt formatCode="&quot;(R)epetition :&quot;\ m:ss" numFmtId="211"/>
    <numFmt formatCode="&quot;(I)nterval :&quot;\ m:ss" numFmtId="212"/>
    <numFmt formatCode="&quot;(T)hreshold :&quot;\ m:ss" numFmtId="213"/>
    <numFmt formatCode="&quot;1500/Mile:&quot;\ m:ss" numFmtId="214"/>
    <numFmt formatCode="&quot;5k Pace:&quot;\ [m]:ss" numFmtId="215"/>
    <numFmt formatCode="&quot;10k Pace:&quot;\ [m]:ss" numFmtId="216"/>
    <numFmt formatCode="&quot;Current Weight - &quot;0" numFmtId="217"/>
    <numFmt formatCode="0.0000\ &quot;km&quot;" numFmtId="218"/>
    <numFmt formatCode="0.0\ &quot;liters / min&quot;" numFmtId="219"/>
    <numFmt formatCode="0.0000\ &quot;lb&quot;" numFmtId="220"/>
    <numFmt formatCode="0.0000\ &quot;in&quot;" numFmtId="221"/>
    <numFmt formatCode="0.0000\ &quot;miles&quot;" numFmtId="222"/>
    <numFmt formatCode="0.0000\ &quot;cm&quot;" numFmtId="223"/>
    <numFmt formatCode="0.0000\ &quot;kg&quot;" numFmtId="224"/>
  </numFmts>
  <fonts count="67">
    <font>
      <name val="Arial"/>
      <family val="2"/>
      <sz val="10"/>
    </font>
    <font>
      <name val="Arial"/>
      <family val="2"/>
      <color rgb="FF000000"/>
      <sz val="8"/>
    </font>
    <font>
      <name val="Tahoma"/>
      <family val="2"/>
      <color rgb="FF000000"/>
      <sz val="8"/>
    </font>
    <font>
      <name val="Arial"/>
      <family val="2"/>
      <color rgb="FF000000"/>
      <sz val="7"/>
    </font>
    <font>
      <name val="Arial"/>
      <family val="2"/>
      <sz val="10"/>
    </font>
    <font>
      <name val="Segoe UI"/>
      <family val="2"/>
      <color rgb="FF000000"/>
      <sz val="8"/>
    </font>
    <font>
      <name val="Arial"/>
      <family val="2"/>
      <sz val="9"/>
    </font>
    <font>
      <name val="Arial"/>
      <family val="2"/>
      <b val="1"/>
      <color indexed="12"/>
      <sz val="9"/>
    </font>
    <font>
      <name val="Arial"/>
      <family val="2"/>
      <b val="1"/>
      <color indexed="12"/>
      <sz val="8"/>
    </font>
    <font>
      <name val="Arial"/>
      <family val="2"/>
      <b val="1"/>
      <sz val="14"/>
    </font>
    <font>
      <name val="Arial"/>
      <family val="2"/>
      <sz val="8"/>
    </font>
    <font>
      <name val="Arial"/>
      <family val="2"/>
      <b val="1"/>
      <sz val="8"/>
    </font>
    <font>
      <name val="Arial"/>
      <family val="2"/>
      <color indexed="22"/>
      <sz val="10"/>
    </font>
    <font>
      <name val="Arial"/>
      <family val="2"/>
      <sz val="7"/>
    </font>
    <font>
      <name val="Arial"/>
      <family val="2"/>
      <b val="1"/>
      <sz val="7"/>
    </font>
    <font>
      <name val="Arial"/>
      <family val="2"/>
      <color indexed="10"/>
      <sz val="8"/>
    </font>
    <font>
      <name val="Arial"/>
      <family val="2"/>
      <b val="1"/>
      <color indexed="10"/>
      <sz val="8"/>
    </font>
    <font>
      <name val="Arial"/>
      <family val="2"/>
      <b val="1"/>
      <sz val="9"/>
    </font>
    <font>
      <name val="Arial"/>
      <family val="2"/>
      <color theme="0" tint="-0.249946592608417"/>
      <sz val="10"/>
    </font>
    <font>
      <name val="Arial"/>
      <family val="2"/>
      <b val="1"/>
      <color theme="0" tint="-0.249946592608417"/>
      <sz val="8"/>
    </font>
    <font>
      <name val="Arial"/>
      <family val="2"/>
      <sz val="6"/>
    </font>
    <font>
      <name val="Arial"/>
      <family val="2"/>
      <b val="1"/>
      <color indexed="15"/>
      <sz val="9"/>
    </font>
    <font>
      <name val="Arial"/>
      <family val="2"/>
      <b val="1"/>
      <color indexed="15"/>
      <sz val="8"/>
    </font>
    <font>
      <name val="Arial"/>
      <family val="2"/>
      <b val="1"/>
      <color indexed="15"/>
      <sz val="10"/>
    </font>
    <font>
      <name val="Arial"/>
      <family val="2"/>
      <b val="1"/>
      <sz val="10"/>
    </font>
    <font>
      <name val="Arial"/>
      <family val="2"/>
      <b val="1"/>
      <color indexed="22"/>
      <sz val="10"/>
    </font>
    <font>
      <name val="Arial"/>
      <family val="2"/>
      <b val="1"/>
      <color indexed="60"/>
      <sz val="9"/>
    </font>
    <font>
      <name val="Arial"/>
      <family val="2"/>
      <color indexed="12"/>
      <sz val="10"/>
      <u val="single"/>
    </font>
    <font>
      <name val="Arial"/>
      <family val="2"/>
      <color indexed="12"/>
      <sz val="8"/>
      <u val="single"/>
    </font>
    <font>
      <name val="Tahoma"/>
      <family val="2"/>
      <b val="1"/>
      <sz val="8"/>
    </font>
    <font>
      <name val="Tahoma"/>
      <family val="2"/>
      <sz val="9"/>
    </font>
    <font>
      <name val="Arial"/>
      <family val="2"/>
      <b val="1"/>
      <color indexed="12"/>
      <sz val="10"/>
      <u val="single"/>
    </font>
    <font>
      <name val="Arial"/>
      <family val="2"/>
      <sz val="7.5"/>
    </font>
    <font>
      <name val="Arial"/>
      <family val="2"/>
      <color indexed="12"/>
      <sz val="8"/>
    </font>
    <font>
      <name val="Arial"/>
      <family val="2"/>
      <color indexed="49"/>
      <sz val="9"/>
    </font>
    <font>
      <name val="Arial"/>
      <family val="2"/>
      <b val="1"/>
      <color indexed="22"/>
      <sz val="8"/>
    </font>
    <font>
      <name val="Arial"/>
      <family val="2"/>
      <b val="1"/>
      <sz val="9"/>
      <u val="single"/>
    </font>
    <font>
      <name val="Arial"/>
      <family val="2"/>
      <color indexed="12"/>
      <sz val="9"/>
      <u val="single"/>
    </font>
    <font>
      <name val="Arial"/>
      <family val="2"/>
      <color theme="0"/>
      <sz val="10"/>
    </font>
    <font>
      <name val="Arial"/>
      <family val="2"/>
      <color indexed="22"/>
      <sz val="8"/>
    </font>
    <font>
      <name val="Arial"/>
      <family val="2"/>
      <b val="1"/>
      <color indexed="12"/>
      <sz val="10"/>
    </font>
    <font>
      <name val="Arial"/>
      <family val="2"/>
      <color indexed="40"/>
      <sz val="7"/>
    </font>
    <font>
      <name val="Arial"/>
      <family val="2"/>
      <b val="1"/>
      <color indexed="60"/>
      <sz val="10"/>
    </font>
    <font>
      <name val="Arial"/>
      <family val="2"/>
      <color indexed="55"/>
      <sz val="8"/>
    </font>
    <font>
      <name val="Arial"/>
      <family val="2"/>
      <b val="1"/>
      <color indexed="51"/>
      <sz val="10"/>
    </font>
    <font>
      <name val="Arial"/>
      <family val="2"/>
      <color indexed="44"/>
      <sz val="10"/>
    </font>
    <font>
      <name val="Arial"/>
      <family val="2"/>
      <color indexed="12"/>
      <sz val="9"/>
    </font>
    <font>
      <name val="Arial"/>
      <family val="2"/>
      <color indexed="44"/>
      <sz val="9"/>
    </font>
    <font>
      <name val="Arial"/>
      <family val="2"/>
      <sz val="12"/>
    </font>
    <font>
      <name val="Arial"/>
      <family val="2"/>
      <b val="1"/>
      <color indexed="12"/>
      <sz val="12"/>
    </font>
    <font>
      <name val="Tahoma"/>
      <family val="2"/>
      <color indexed="81"/>
      <sz val="10"/>
    </font>
    <font>
      <name val="Tahoma"/>
      <family val="2"/>
      <b val="1"/>
      <color indexed="81"/>
      <sz val="10"/>
    </font>
    <font>
      <name val="Tahoma"/>
      <family val="2"/>
      <color indexed="81"/>
      <sz val="8"/>
    </font>
    <font>
      <name val="Tahoma"/>
      <family val="2"/>
      <b val="1"/>
      <color indexed="81"/>
      <sz val="8"/>
    </font>
    <font>
      <name val="Arial"/>
      <family val="2"/>
      <b val="1"/>
      <i val="1"/>
      <sz val="9"/>
    </font>
    <font>
      <name val="Arial"/>
      <family val="2"/>
      <i val="1"/>
      <sz val="10"/>
      <u val="single"/>
    </font>
    <font>
      <name val="Arial"/>
      <family val="2"/>
      <sz val="10"/>
      <u val="single"/>
    </font>
    <font>
      <name val="Arial"/>
      <family val="2"/>
      <color theme="0" tint="-0.3499862666707358"/>
      <sz val="7"/>
    </font>
    <font>
      <name val="Arial"/>
      <family val="2"/>
      <color theme="0" tint="-0.3499862666707358"/>
      <sz val="8"/>
    </font>
    <font>
      <name val="Arial"/>
      <family val="2"/>
      <b val="1"/>
      <sz val="12"/>
      <u val="single"/>
    </font>
    <font>
      <name val="Arial"/>
      <family val="2"/>
      <color theme="0" tint="-0.249946592608417"/>
      <sz val="6"/>
    </font>
    <font>
      <name val="Arial"/>
      <family val="2"/>
      <color theme="0" tint="-0.499984740745262"/>
      <sz val="10"/>
    </font>
    <font>
      <name val="Arial"/>
      <family val="2"/>
      <sz val="9"/>
      <u val="single"/>
    </font>
    <font>
      <name val="Tahoma"/>
      <family val="2"/>
      <color indexed="81"/>
      <sz val="9"/>
    </font>
    <font>
      <name val="Tahoma"/>
      <family val="2"/>
      <color indexed="81"/>
      <sz val="9"/>
      <u val="single"/>
    </font>
    <font>
      <name val="Tahoma"/>
      <family val="2"/>
      <b val="1"/>
      <color indexed="81"/>
      <sz val="9"/>
    </font>
    <font>
      <name val="Arial"/>
      <family val="2"/>
      <b val="1"/>
      <color rgb="FFCCCCFF"/>
      <sz val="9"/>
    </font>
  </fonts>
  <fills count="26">
    <fill>
      <patternFill/>
    </fill>
    <fill>
      <patternFill patternType="gray125"/>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theme="0" tint="-0.249946592608417"/>
        <bgColor indexed="64"/>
      </patternFill>
    </fill>
    <fill>
      <patternFill patternType="solid">
        <fgColor indexed="49"/>
        <bgColor indexed="64"/>
      </patternFill>
    </fill>
    <fill>
      <patternFill patternType="solid">
        <fgColor indexed="40"/>
        <bgColor indexed="64"/>
      </patternFill>
    </fill>
    <fill>
      <patternFill patternType="solid">
        <fgColor indexed="44"/>
        <bgColor indexed="64"/>
      </patternFill>
    </fill>
    <fill>
      <patternFill patternType="solid">
        <fgColor indexed="31"/>
        <bgColor indexed="64"/>
      </patternFill>
    </fill>
    <fill>
      <patternFill patternType="solid">
        <fgColor indexed="42"/>
        <bgColor indexed="64"/>
      </patternFill>
    </fill>
    <fill>
      <patternFill patternType="solid">
        <fgColor indexed="41"/>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46"/>
        <bgColor indexed="64"/>
      </patternFill>
    </fill>
    <fill>
      <patternFill patternType="solid">
        <fgColor indexed="4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theme="9" tint="0.5999633777886288"/>
        <bgColor indexed="64"/>
      </patternFill>
    </fill>
    <fill>
      <patternFill patternType="solid">
        <fgColor theme="5" tint="0.7999816888943144"/>
        <bgColor indexed="64"/>
      </patternFill>
    </fill>
    <fill>
      <patternFill patternType="solid">
        <fgColor theme="8" tint="0.5999633777886288"/>
        <bgColor indexed="64"/>
      </patternFill>
    </fill>
    <fill>
      <patternFill patternType="solid">
        <fgColor rgb="FFCCCCFF"/>
        <bgColor indexed="64"/>
      </patternFill>
    </fill>
  </fills>
  <borders count="288">
    <border>
      <left/>
      <right/>
      <top/>
      <bottom/>
      <diagonal/>
    </border>
    <border>
      <left style="thick">
        <color indexed="64"/>
      </left>
      <right style="thin">
        <color indexed="64"/>
      </right>
      <top style="thick">
        <color indexed="64"/>
      </top>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ck">
        <color indexed="64"/>
      </top>
      <bottom/>
      <diagonal/>
    </border>
    <border>
      <left/>
      <right/>
      <top style="thick">
        <color indexed="64"/>
      </top>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thin">
        <color indexed="64"/>
      </top>
      <bottom/>
      <diagonal/>
    </border>
    <border>
      <left/>
      <right/>
      <top style="thin">
        <color auto="1"/>
      </top>
      <bottom/>
      <diagonal/>
    </border>
    <border>
      <left/>
      <right style="thick">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ck">
        <color indexed="64"/>
      </top>
      <bottom style="thin">
        <color indexed="64"/>
      </bottom>
      <diagonal/>
    </border>
    <border>
      <left style="thick">
        <color indexed="64"/>
      </left>
      <right/>
      <top style="thick">
        <color indexed="64"/>
      </top>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thick">
        <color indexed="64"/>
      </right>
      <top/>
      <bottom style="medium">
        <color indexed="64"/>
      </bottom>
      <diagonal/>
    </border>
    <border>
      <left style="thick">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ck">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diagonal/>
    </border>
    <border>
      <left style="thick">
        <color indexed="64"/>
      </left>
      <right style="thick">
        <color indexed="64"/>
      </right>
      <top style="thin">
        <color indexed="64"/>
      </top>
      <bottom/>
      <diagonal/>
    </border>
    <border>
      <left style="thick">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ck">
        <color indexed="64"/>
      </right>
      <top style="medium">
        <color indexed="64"/>
      </top>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thick">
        <color indexed="64"/>
      </right>
      <top style="medium">
        <color indexed="64"/>
      </top>
      <bottom style="thick">
        <color indexed="64"/>
      </bottom>
      <diagonal/>
    </border>
    <border>
      <left/>
      <right/>
      <top/>
      <bottom style="thick">
        <color indexed="64"/>
      </bottom>
      <diagonal/>
    </border>
    <border>
      <left style="thick">
        <color indexed="64"/>
      </left>
      <right/>
      <top style="thick">
        <color indexed="64"/>
      </top>
      <bottom style="medium">
        <color indexed="64"/>
      </bottom>
      <diagonal/>
    </border>
    <border>
      <left style="medium">
        <color indexed="64"/>
      </left>
      <right style="dashed">
        <color indexed="64"/>
      </right>
      <top style="thick">
        <color indexed="64"/>
      </top>
      <bottom style="medium">
        <color indexed="64"/>
      </bottom>
      <diagonal/>
    </border>
    <border>
      <left style="dashed">
        <color indexed="64"/>
      </left>
      <right style="dashed">
        <color indexed="64"/>
      </right>
      <top style="thick">
        <color indexed="64"/>
      </top>
      <bottom style="medium">
        <color indexed="64"/>
      </bottom>
      <diagonal/>
    </border>
    <border>
      <left style="dashed">
        <color indexed="64"/>
      </left>
      <right style="medium">
        <color indexed="64"/>
      </right>
      <top style="thick">
        <color indexed="64"/>
      </top>
      <bottom style="medium">
        <color indexed="64"/>
      </bottom>
      <diagonal/>
    </border>
    <border>
      <left style="dashed">
        <color indexed="64"/>
      </left>
      <right/>
      <top style="thick">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top/>
      <bottom style="thin">
        <color indexed="64"/>
      </bottom>
      <diagonal/>
    </border>
    <border>
      <left style="thick">
        <color indexed="64"/>
      </left>
      <right style="medium">
        <color indexed="64"/>
      </right>
      <top/>
      <bottom style="thin">
        <color indexed="64"/>
      </bottom>
      <diagonal/>
    </border>
    <border>
      <left style="dashed">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medium">
        <color indexed="64"/>
      </right>
      <top style="thin">
        <color indexed="64"/>
      </top>
      <bottom/>
      <diagonal/>
    </border>
    <border>
      <left style="dashed">
        <color indexed="64"/>
      </left>
      <right style="dashed">
        <color indexed="64"/>
      </right>
      <top style="thin">
        <color indexed="64"/>
      </top>
      <bottom/>
      <diagonal/>
    </border>
    <border>
      <left style="dashed">
        <color indexed="64"/>
      </left>
      <right/>
      <top style="thin">
        <color indexed="64"/>
      </top>
      <bottom/>
      <diagonal/>
    </border>
    <border>
      <left style="medium">
        <color indexed="64"/>
      </left>
      <right style="dashed">
        <color indexed="64"/>
      </right>
      <top style="thin">
        <color indexed="64"/>
      </top>
      <bottom style="thick">
        <color indexed="64"/>
      </bottom>
      <diagonal/>
    </border>
    <border>
      <left style="dashed">
        <color indexed="64"/>
      </left>
      <right style="medium">
        <color indexed="64"/>
      </right>
      <top style="thin">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diagonal/>
    </border>
    <border>
      <left style="dashed">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top/>
      <bottom/>
      <diagonal/>
    </border>
    <border>
      <left style="thick">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ck">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medium">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top style="medium">
        <color indexed="64"/>
      </top>
      <bottom style="medium">
        <color indexed="64"/>
      </bottom>
      <diagonal/>
    </border>
    <border>
      <left style="thick">
        <color indexed="64"/>
      </left>
      <right style="medium">
        <color indexed="64"/>
      </right>
      <top/>
      <bottom style="medium">
        <color indexed="64"/>
      </bottom>
      <diagonal/>
    </border>
    <border>
      <left style="dashed">
        <color indexed="64"/>
      </left>
      <right/>
      <top/>
      <bottom style="medium">
        <color indexed="64"/>
      </bottom>
      <diagonal/>
    </border>
    <border>
      <left style="thin">
        <color indexed="64"/>
      </left>
      <right style="thick">
        <color indexed="64"/>
      </right>
      <top style="thin">
        <color indexed="64"/>
      </top>
      <bottom style="medium">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diagonal/>
    </border>
    <border>
      <left style="thick">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ck">
        <color indexed="64"/>
      </right>
      <top/>
      <bottom style="medium">
        <color indexed="64"/>
      </bottom>
      <diagonal/>
    </border>
    <border>
      <left style="thick">
        <color indexed="64"/>
      </left>
      <right/>
      <top style="thin">
        <color indexed="64"/>
      </top>
      <bottom style="thin">
        <color indexed="64"/>
      </bottom>
      <diagonal/>
    </border>
    <border>
      <left style="thick">
        <color indexed="64"/>
      </left>
      <right style="medium">
        <color indexed="64"/>
      </right>
      <top/>
      <bottom/>
      <diagonal/>
    </border>
    <border>
      <left/>
      <right style="medium">
        <color indexed="64"/>
      </right>
      <top style="medium">
        <color indexed="64"/>
      </top>
      <bottom style="medium">
        <color indexed="64"/>
      </bottom>
      <diagonal/>
    </border>
    <border>
      <left style="thick">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medium">
        <color indexed="64"/>
      </top>
      <bottom style="dashed">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ck">
        <color indexed="64"/>
      </right>
      <top style="dashed">
        <color indexed="64"/>
      </top>
      <bottom style="dashed">
        <color indexed="64"/>
      </bottom>
      <diagonal/>
    </border>
    <border>
      <left style="thick">
        <color indexed="64"/>
      </left>
      <right style="thin">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top style="medium">
        <color indexed="64"/>
      </top>
      <bottom style="thin">
        <color indexed="64"/>
      </bottom>
      <diagonal/>
    </border>
    <border>
      <left style="dotted">
        <color indexed="64"/>
      </left>
      <right style="thick">
        <color indexed="64"/>
      </right>
      <top style="medium">
        <color indexed="64"/>
      </top>
      <bottom style="thin">
        <color indexed="64"/>
      </bottom>
      <diagonal/>
    </border>
    <border>
      <left/>
      <right style="thick">
        <color indexed="64"/>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indexed="64"/>
      </left>
      <right/>
      <top style="thin">
        <color indexed="64"/>
      </top>
      <bottom style="thin">
        <color indexed="64"/>
      </bottom>
      <diagonal/>
    </border>
    <border>
      <left style="dotted">
        <color indexed="64"/>
      </left>
      <right style="thick">
        <color indexed="64"/>
      </right>
      <top style="thin">
        <color indexed="64"/>
      </top>
      <bottom style="thin">
        <color indexed="64"/>
      </bottom>
      <diagonal/>
    </border>
    <border>
      <left/>
      <right style="thick">
        <color indexed="64"/>
      </right>
      <top style="medium">
        <color indexed="64"/>
      </top>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style="dashed">
        <color indexed="64"/>
      </top>
      <bottom style="dashed">
        <color indexed="64"/>
      </bottom>
      <diagonal/>
    </border>
    <border>
      <left style="thin">
        <color indexed="64"/>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dotted">
        <color indexed="64"/>
      </left>
      <right style="thick">
        <color indexed="64"/>
      </right>
      <top style="thin">
        <color indexed="64"/>
      </top>
      <bottom style="medium">
        <color indexed="64"/>
      </bottom>
      <diagonal/>
    </border>
    <border>
      <left style="thick">
        <color indexed="64"/>
      </left>
      <right style="thick">
        <color indexed="64"/>
      </right>
      <top style="dashed">
        <color indexed="64"/>
      </top>
      <bottom style="medium">
        <color indexed="64"/>
      </bottom>
      <diagonal/>
    </border>
    <border>
      <left/>
      <right style="thin">
        <color indexed="64"/>
      </right>
      <top style="medium">
        <color indexed="64"/>
      </top>
      <bottom/>
      <diagonal/>
    </border>
    <border>
      <left style="medium">
        <color indexed="64"/>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medium">
        <color indexed="64"/>
      </bottom>
      <diagonal/>
    </border>
    <border>
      <left style="medium">
        <color indexed="64"/>
      </left>
      <right style="thick">
        <color indexed="64"/>
      </right>
      <top style="medium">
        <color indexed="64"/>
      </top>
      <bottom/>
      <diagonal/>
    </border>
    <border>
      <left/>
      <right style="thick">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style="thin">
        <color indexed="64"/>
      </right>
      <top style="medium">
        <color indexed="64"/>
      </top>
      <bottom/>
      <diagonal/>
    </border>
    <border>
      <left/>
      <right style="thick">
        <color indexed="64"/>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style="thick">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ck">
        <color indexed="64"/>
      </right>
      <top style="medium">
        <color indexed="64"/>
      </top>
      <bottom style="medium">
        <color indexed="64"/>
      </bottom>
      <diagonal/>
    </border>
    <border>
      <left style="medium">
        <color indexed="64"/>
      </left>
      <right style="double">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ck">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ck">
        <color indexed="64"/>
      </right>
      <top style="thin">
        <color indexed="64"/>
      </top>
      <bottom style="thin">
        <color indexed="64"/>
      </bottom>
      <diagonal/>
    </border>
    <border>
      <left/>
      <right style="double">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style="dashed">
        <color indexed="64"/>
      </left>
      <right style="thick">
        <color indexed="64"/>
      </right>
      <top style="thin">
        <color indexed="64"/>
      </top>
      <bottom style="medium">
        <color indexed="64"/>
      </bottom>
      <diagonal/>
    </border>
    <border>
      <left style="medium">
        <color indexed="64"/>
      </left>
      <right style="double">
        <color indexed="64"/>
      </right>
      <top style="thin">
        <color indexed="64"/>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right style="thick">
        <color indexed="64"/>
      </right>
      <top style="thin">
        <color indexed="64"/>
      </top>
      <bottom style="thick">
        <color indexed="64"/>
      </bottom>
      <diagonal/>
    </border>
    <border>
      <left style="thick">
        <color indexed="64"/>
      </left>
      <right style="double">
        <color indexed="64"/>
      </right>
      <top style="thick">
        <color indexed="64"/>
      </top>
      <bottom/>
      <diagonal/>
    </border>
    <border>
      <left style="double">
        <color indexed="64"/>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ck">
        <color indexed="64"/>
      </top>
      <bottom style="thin">
        <color indexed="64"/>
      </bottom>
      <diagonal/>
    </border>
    <border>
      <left style="double">
        <color indexed="64"/>
      </left>
      <right style="double">
        <color indexed="64"/>
      </right>
      <top style="double">
        <color indexed="64"/>
      </top>
      <bottom style="medium">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right style="thin">
        <color indexed="64"/>
      </right>
      <top/>
      <bottom style="thin">
        <color indexed="64"/>
      </bottom>
      <diagonal/>
    </border>
    <border>
      <left style="thin">
        <color indexed="64"/>
      </left>
      <right style="thick">
        <color indexed="64"/>
      </right>
      <top/>
      <bottom style="medium">
        <color indexed="64"/>
      </bottom>
      <diagonal/>
    </border>
    <border>
      <left/>
      <right style="medium">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ck">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right/>
      <top style="thin">
        <color indexed="64"/>
      </top>
      <bottom/>
      <diagonal/>
    </border>
    <border>
      <left style="thick">
        <color indexed="64"/>
      </left>
      <right style="thick">
        <color indexed="64"/>
      </right>
      <top style="thick">
        <color indexed="64"/>
      </top>
      <bottom style="medium">
        <color indexed="64"/>
      </bottom>
      <diagonal/>
    </border>
    <border>
      <left style="thick">
        <color indexed="64"/>
      </left>
      <right style="medium">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ck">
        <color indexed="64"/>
      </bottom>
      <diagonal/>
    </border>
    <border>
      <left style="medium">
        <color indexed="64"/>
      </left>
      <right style="thick">
        <color indexed="64"/>
      </right>
      <top/>
      <bottom style="thick">
        <color indexed="64"/>
      </bottom>
      <diagonal/>
    </border>
    <border>
      <left/>
      <right style="thin">
        <color indexed="64"/>
      </right>
      <top style="thick">
        <color indexed="64"/>
      </top>
      <bottom/>
      <diagonal/>
    </border>
    <border>
      <left/>
      <right style="thin">
        <color indexed="64"/>
      </right>
      <top style="thick">
        <color indexed="64"/>
      </top>
      <bottom style="medium">
        <color indexed="64"/>
      </bottom>
      <diagonal/>
    </border>
    <border>
      <left style="medium">
        <color indexed="64"/>
      </left>
      <right style="thick">
        <color indexed="64"/>
      </right>
      <top style="thick">
        <color indexed="64"/>
      </top>
      <bottom style="thin">
        <color indexed="64"/>
      </bottom>
      <diagonal/>
    </border>
    <border>
      <left/>
      <right style="medium">
        <color indexed="64"/>
      </right>
      <top style="thick">
        <color indexed="64"/>
      </top>
      <bottom/>
      <diagonal/>
    </border>
  </borders>
  <cellStyleXfs count="3">
    <xf borderId="0" fillId="0" fontId="4" numFmtId="0"/>
    <xf applyAlignment="1" applyProtection="1" borderId="0" fillId="0" fontId="27" numFmtId="0">
      <alignment vertical="top"/>
      <protection hidden="0" locked="0"/>
    </xf>
    <xf applyAlignment="1" applyProtection="1" borderId="0" fillId="0" fontId="27" numFmtId="0">
      <alignment vertical="top"/>
      <protection hidden="0" locked="0"/>
    </xf>
  </cellStyleXfs>
  <cellXfs count="1449">
    <xf borderId="0" fillId="0" fontId="0" numFmtId="0" pivotButton="0" quotePrefix="0" xfId="0"/>
    <xf applyAlignment="1" borderId="0" fillId="0" fontId="6" numFmtId="0" pivotButton="0" quotePrefix="0" xfId="0">
      <alignment horizontal="center"/>
    </xf>
    <xf borderId="0" fillId="0" fontId="0" numFmtId="0" pivotButton="0" quotePrefix="0" xfId="0"/>
    <xf applyAlignment="1" borderId="0" fillId="0" fontId="0" numFmtId="0" pivotButton="0" quotePrefix="0" xfId="0">
      <alignment horizontal="center"/>
    </xf>
    <xf borderId="0" fillId="0" fontId="0" numFmtId="0" pivotButton="0" quotePrefix="0" xfId="0"/>
    <xf applyAlignment="1" borderId="1" fillId="2" fontId="6" numFmtId="0" pivotButton="0" quotePrefix="0" xfId="0">
      <alignment horizontal="right" vertical="center"/>
    </xf>
    <xf applyAlignment="1" applyProtection="1" borderId="2" fillId="0" fontId="7" numFmtId="0" pivotButton="0" quotePrefix="0" xfId="0">
      <alignment horizontal="center" vertical="center"/>
      <protection hidden="0" locked="0"/>
    </xf>
    <xf applyAlignment="1" borderId="3" fillId="2" fontId="6" numFmtId="0" pivotButton="0" quotePrefix="0" xfId="0">
      <alignment horizontal="right" vertical="center"/>
    </xf>
    <xf applyAlignment="1" applyProtection="1" borderId="2" fillId="0" fontId="8" numFmtId="14" pivotButton="0" quotePrefix="0" xfId="0">
      <alignment horizontal="center" vertical="center"/>
      <protection hidden="0" locked="0"/>
    </xf>
    <xf borderId="4" fillId="0" fontId="0" numFmtId="0" pivotButton="0" quotePrefix="0" xfId="0"/>
    <xf borderId="4" fillId="0" fontId="0" numFmtId="0" pivotButton="0" quotePrefix="0" xfId="0"/>
    <xf borderId="5" fillId="0" fontId="0" numFmtId="0" pivotButton="0" quotePrefix="0" xfId="0"/>
    <xf borderId="0" fillId="0" fontId="0" numFmtId="0" pivotButton="0" quotePrefix="0" xfId="0"/>
    <xf applyAlignment="1" borderId="7" fillId="2" fontId="6" numFmtId="0" pivotButton="0" quotePrefix="0" xfId="0">
      <alignment horizontal="right"/>
    </xf>
    <xf applyAlignment="1" applyProtection="1" borderId="8" fillId="0" fontId="7" numFmtId="0" pivotButton="0" quotePrefix="0" xfId="0">
      <alignment horizontal="center"/>
      <protection hidden="0" locked="0"/>
    </xf>
    <xf applyAlignment="1" borderId="9" fillId="2" fontId="6" numFmtId="0" pivotButton="0" quotePrefix="0" xfId="0">
      <alignment horizontal="right"/>
    </xf>
    <xf applyAlignment="1" applyProtection="1" borderId="10" fillId="0" fontId="7" numFmtId="0" pivotButton="0" quotePrefix="0" xfId="0">
      <alignment horizontal="center"/>
      <protection hidden="0" locked="0"/>
    </xf>
    <xf borderId="0" fillId="0" fontId="0" numFmtId="0" pivotButton="0" quotePrefix="0" xfId="0"/>
    <xf applyAlignment="1" borderId="0" fillId="0" fontId="4" numFmtId="0" pivotButton="0" quotePrefix="0" xfId="0">
      <alignment horizontal="center"/>
    </xf>
    <xf applyProtection="1" borderId="14" fillId="2" fontId="12" numFmtId="0" pivotButton="0" quotePrefix="0" xfId="0">
      <protection hidden="0" locked="0"/>
    </xf>
    <xf applyAlignment="1" applyProtection="1" borderId="15" fillId="2" fontId="12" numFmtId="0" pivotButton="0" quotePrefix="0" xfId="0">
      <alignment horizontal="center"/>
      <protection hidden="0" locked="0"/>
    </xf>
    <xf applyAlignment="1" borderId="16" fillId="2" fontId="6" numFmtId="0" pivotButton="0" quotePrefix="0" xfId="0">
      <alignment horizontal="right"/>
    </xf>
    <xf applyAlignment="1" applyProtection="1" borderId="17" fillId="0" fontId="7" numFmtId="0" pivotButton="0" quotePrefix="0" xfId="0">
      <alignment horizontal="center"/>
      <protection hidden="0" locked="0"/>
    </xf>
    <xf borderId="0" fillId="3" fontId="6" numFmtId="0" pivotButton="0" quotePrefix="0" xfId="0"/>
    <xf applyAlignment="1" borderId="26" fillId="0" fontId="14" numFmtId="0" pivotButton="0" quotePrefix="0" xfId="0">
      <alignment horizontal="left" vertical="top"/>
    </xf>
    <xf applyAlignment="1" borderId="0" fillId="0" fontId="10" numFmtId="0" pivotButton="0" quotePrefix="0" xfId="0">
      <alignment horizontal="center"/>
    </xf>
    <xf borderId="0" fillId="0" fontId="15" numFmtId="0" pivotButton="0" quotePrefix="0" xfId="0"/>
    <xf applyAlignment="1" borderId="28" fillId="4" fontId="15" numFmtId="164" pivotButton="0" quotePrefix="0" xfId="0">
      <alignment horizontal="center"/>
    </xf>
    <xf applyAlignment="1" applyProtection="1" borderId="32" fillId="0" fontId="6" numFmtId="165" pivotButton="0" quotePrefix="0" xfId="0">
      <alignment horizontal="center"/>
      <protection hidden="0" locked="0"/>
    </xf>
    <xf borderId="33" fillId="0" fontId="0" numFmtId="0" pivotButton="0" quotePrefix="0" xfId="0"/>
    <xf applyAlignment="1" borderId="34" fillId="2" fontId="6" numFmtId="0" pivotButton="0" quotePrefix="0" xfId="0">
      <alignment horizontal="right"/>
    </xf>
    <xf applyAlignment="1" applyProtection="1" borderId="36" fillId="0" fontId="7" numFmtId="21" pivotButton="0" quotePrefix="0" xfId="0">
      <alignment horizontal="center" vertical="center"/>
      <protection hidden="0" locked="0"/>
    </xf>
    <xf borderId="37" fillId="0" fontId="0" numFmtId="0" pivotButton="0" quotePrefix="0" xfId="0"/>
    <xf applyAlignment="1" borderId="38" fillId="4" fontId="16" numFmtId="164" pivotButton="0" quotePrefix="0" xfId="0">
      <alignment horizontal="right" vertical="top"/>
    </xf>
    <xf applyAlignment="1" borderId="39" fillId="4" fontId="16" numFmtId="166" pivotButton="0" quotePrefix="0" xfId="0">
      <alignment horizontal="center" vertical="top"/>
    </xf>
    <xf applyAlignment="1" borderId="40" fillId="4" fontId="16" numFmtId="167" pivotButton="0" quotePrefix="0" xfId="0">
      <alignment horizontal="center" vertical="top"/>
    </xf>
    <xf applyAlignment="1" borderId="41" fillId="4" fontId="16" numFmtId="164" pivotButton="0" quotePrefix="0" xfId="0">
      <alignment horizontal="right" vertical="top"/>
    </xf>
    <xf applyAlignment="1" borderId="39" fillId="4" fontId="16" numFmtId="1" pivotButton="0" quotePrefix="0" xfId="0">
      <alignment horizontal="left" vertical="top"/>
    </xf>
    <xf applyProtection="1" borderId="43" fillId="5" fontId="18" numFmtId="0" pivotButton="0" quotePrefix="0" xfId="0">
      <protection hidden="0" locked="0"/>
    </xf>
    <xf borderId="44" fillId="2" fontId="6" numFmtId="0" pivotButton="0" quotePrefix="0" xfId="0"/>
    <xf applyAlignment="1" borderId="4" fillId="2" fontId="10" numFmtId="20" pivotButton="0" quotePrefix="0" xfId="0">
      <alignment horizontal="right"/>
    </xf>
    <xf applyAlignment="1" borderId="47" fillId="2" fontId="10" numFmtId="0" pivotButton="0" quotePrefix="0" xfId="0">
      <alignment horizontal="center"/>
    </xf>
    <xf applyAlignment="1" borderId="45" fillId="2" fontId="10" numFmtId="0" pivotButton="0" quotePrefix="0" xfId="0">
      <alignment horizontal="center"/>
    </xf>
    <xf applyAlignment="1" borderId="48" fillId="2" fontId="10" numFmtId="49" pivotButton="0" quotePrefix="0" xfId="0">
      <alignment horizontal="center"/>
    </xf>
    <xf applyAlignment="1" borderId="47" fillId="2" fontId="6" numFmtId="49" pivotButton="0" quotePrefix="0" xfId="0">
      <alignment horizontal="center"/>
    </xf>
    <xf applyAlignment="1" borderId="47" fillId="5" fontId="6" numFmtId="168" pivotButton="0" quotePrefix="0" xfId="0">
      <alignment horizontal="center"/>
    </xf>
    <xf applyAlignment="1" borderId="45" fillId="2" fontId="6" numFmtId="49" pivotButton="0" quotePrefix="0" xfId="0">
      <alignment horizontal="center"/>
    </xf>
    <xf applyAlignment="1" borderId="49" fillId="2" fontId="6" numFmtId="49" pivotButton="0" quotePrefix="0" xfId="0">
      <alignment horizontal="center"/>
    </xf>
    <xf applyAlignment="1" borderId="50" fillId="5" fontId="18" numFmtId="0" pivotButton="0" quotePrefix="0" xfId="0">
      <alignment horizontal="center"/>
    </xf>
    <xf applyAlignment="1" borderId="55" fillId="6" fontId="6" numFmtId="169" pivotButton="0" quotePrefix="0" xfId="0">
      <alignment horizontal="center"/>
    </xf>
    <xf applyAlignment="1" borderId="56" fillId="6" fontId="6" numFmtId="169" pivotButton="0" quotePrefix="0" xfId="0">
      <alignment horizontal="center"/>
    </xf>
    <xf applyAlignment="1" borderId="11" fillId="6" fontId="6" numFmtId="169" pivotButton="0" quotePrefix="0" xfId="0">
      <alignment horizontal="center"/>
    </xf>
    <xf applyAlignment="1" borderId="57" fillId="6" fontId="6" numFmtId="169" pivotButton="0" quotePrefix="0" xfId="0">
      <alignment horizontal="center"/>
    </xf>
    <xf applyAlignment="1" borderId="58" fillId="6" fontId="6" numFmtId="169" pivotButton="0" quotePrefix="0" xfId="0">
      <alignment horizontal="center"/>
    </xf>
    <xf borderId="19" fillId="6" fontId="6" numFmtId="0" pivotButton="0" quotePrefix="0" xfId="0"/>
    <xf borderId="52" fillId="6" fontId="6" numFmtId="0" pivotButton="0" quotePrefix="0" xfId="0"/>
    <xf applyAlignment="1" borderId="63" fillId="6" fontId="6" numFmtId="170" pivotButton="0" quotePrefix="0" xfId="0">
      <alignment horizontal="center"/>
    </xf>
    <xf applyAlignment="1" borderId="64" fillId="6" fontId="6" numFmtId="170" pivotButton="0" quotePrefix="0" xfId="0">
      <alignment horizontal="center"/>
    </xf>
    <xf applyAlignment="1" borderId="19" fillId="6" fontId="6" numFmtId="170" pivotButton="0" quotePrefix="0" xfId="0">
      <alignment horizontal="center"/>
    </xf>
    <xf applyAlignment="1" borderId="65" fillId="6" fontId="6" numFmtId="170" pivotButton="0" quotePrefix="0" xfId="0">
      <alignment horizontal="center"/>
    </xf>
    <xf applyAlignment="1" borderId="66" fillId="6" fontId="6" numFmtId="170" pivotButton="0" quotePrefix="0" xfId="0">
      <alignment horizontal="center"/>
    </xf>
    <xf applyAlignment="1" borderId="0" fillId="0" fontId="0" numFmtId="0" pivotButton="0" quotePrefix="0" xfId="0">
      <alignment horizontal="center"/>
    </xf>
    <xf applyAlignment="1" borderId="67" fillId="2" fontId="13" numFmtId="0" pivotButton="0" quotePrefix="0" xfId="0">
      <alignment horizontal="center"/>
    </xf>
    <xf applyAlignment="1" applyProtection="1" borderId="68" fillId="0" fontId="6" numFmtId="1" pivotButton="0" quotePrefix="0" xfId="0">
      <alignment horizontal="center"/>
      <protection hidden="0" locked="0"/>
    </xf>
    <xf applyAlignment="1" borderId="69" fillId="7" fontId="10" numFmtId="171" pivotButton="0" quotePrefix="0" xfId="0">
      <alignment vertical="center"/>
    </xf>
    <xf applyAlignment="1" borderId="70" fillId="7" fontId="10" numFmtId="171" pivotButton="0" quotePrefix="0" xfId="0">
      <alignment vertical="center"/>
    </xf>
    <xf applyAlignment="1" borderId="71" fillId="7" fontId="10" numFmtId="172" pivotButton="0" quotePrefix="0" xfId="0">
      <alignment horizontal="center" vertical="center"/>
    </xf>
    <xf applyAlignment="1" borderId="68" fillId="7" fontId="10" numFmtId="172" pivotButton="0" quotePrefix="0" xfId="0">
      <alignment horizontal="center" vertical="center"/>
    </xf>
    <xf applyAlignment="1" borderId="72" fillId="7" fontId="10" numFmtId="172" pivotButton="0" quotePrefix="0" xfId="0">
      <alignment horizontal="center" vertical="center"/>
    </xf>
    <xf applyAlignment="1" borderId="73" fillId="7" fontId="10" numFmtId="172" pivotButton="0" quotePrefix="0" xfId="0">
      <alignment horizontal="center" vertical="center"/>
    </xf>
    <xf borderId="0" fillId="0" fontId="0" numFmtId="0" pivotButton="0" quotePrefix="0" xfId="0"/>
    <xf applyAlignment="1" borderId="0" fillId="0" fontId="0" numFmtId="1" pivotButton="0" quotePrefix="0" xfId="0">
      <alignment horizontal="center"/>
    </xf>
    <xf applyAlignment="1" borderId="59" fillId="2" fontId="6" numFmtId="0" pivotButton="0" quotePrefix="0" xfId="0">
      <alignment horizontal="center"/>
    </xf>
    <xf applyAlignment="1" borderId="0" fillId="2" fontId="6" numFmtId="0" pivotButton="0" quotePrefix="0" xfId="0">
      <alignment horizontal="right"/>
    </xf>
    <xf applyAlignment="1" borderId="74" fillId="8" fontId="6" numFmtId="172" pivotButton="0" quotePrefix="0" xfId="0">
      <alignment horizontal="center"/>
    </xf>
    <xf applyAlignment="1" borderId="27" fillId="8" fontId="10" numFmtId="172" pivotButton="0" quotePrefix="0" xfId="0">
      <alignment horizontal="center"/>
    </xf>
    <xf applyAlignment="1" borderId="75" fillId="8" fontId="6" numFmtId="172" pivotButton="0" quotePrefix="0" xfId="0">
      <alignment horizontal="center"/>
    </xf>
    <xf applyAlignment="1" borderId="57" fillId="8" fontId="6" numFmtId="172" pivotButton="0" quotePrefix="0" xfId="0">
      <alignment horizontal="center"/>
    </xf>
    <xf applyAlignment="1" borderId="76" fillId="8" fontId="6" numFmtId="172" pivotButton="0" quotePrefix="0" xfId="0">
      <alignment horizontal="center"/>
    </xf>
    <xf applyAlignment="1" borderId="0" fillId="0" fontId="0" numFmtId="173" pivotButton="0" quotePrefix="0" xfId="0">
      <alignment horizontal="center"/>
    </xf>
    <xf applyAlignment="1" borderId="0" fillId="0" fontId="0" numFmtId="0" pivotButton="0" quotePrefix="0" xfId="0">
      <alignment horizontal="left"/>
    </xf>
    <xf applyAlignment="1" borderId="0" fillId="0" fontId="0" numFmtId="1" pivotButton="0" quotePrefix="0" xfId="0">
      <alignment horizontal="left"/>
    </xf>
    <xf applyAlignment="1" borderId="0" fillId="0" fontId="0" numFmtId="1" pivotButton="0" quotePrefix="0" xfId="0">
      <alignment horizontal="center"/>
    </xf>
    <xf applyAlignment="1" borderId="0" fillId="0" fontId="0" numFmtId="174" pivotButton="0" quotePrefix="0" xfId="0">
      <alignment horizontal="center"/>
    </xf>
    <xf borderId="59" fillId="2" fontId="6" numFmtId="0" pivotButton="0" quotePrefix="0" xfId="0"/>
    <xf applyAlignment="1" borderId="0" fillId="2" fontId="10" numFmtId="0" pivotButton="0" quotePrefix="0" xfId="0">
      <alignment horizontal="right"/>
    </xf>
    <xf applyAlignment="1" borderId="64" fillId="8" fontId="10" numFmtId="172" pivotButton="0" quotePrefix="0" xfId="0">
      <alignment horizontal="center" vertical="center"/>
    </xf>
    <xf applyAlignment="1" borderId="19" fillId="8" fontId="10" numFmtId="172" pivotButton="0" quotePrefix="0" xfId="0">
      <alignment horizontal="center" vertical="center"/>
    </xf>
    <xf applyAlignment="1" borderId="63" fillId="8" fontId="10" numFmtId="172" pivotButton="0" quotePrefix="0" xfId="0">
      <alignment horizontal="center" vertical="center"/>
    </xf>
    <xf applyAlignment="1" borderId="65" fillId="8" fontId="10" numFmtId="172" pivotButton="0" quotePrefix="0" xfId="0">
      <alignment horizontal="center" vertical="center"/>
    </xf>
    <xf applyAlignment="1" borderId="66" fillId="8" fontId="10" numFmtId="172" pivotButton="0" quotePrefix="0" xfId="0">
      <alignment horizontal="center" vertical="center"/>
    </xf>
    <xf applyAlignment="1" borderId="59" fillId="2" fontId="6" numFmtId="1" pivotButton="0" quotePrefix="0" xfId="0">
      <alignment horizontal="center"/>
    </xf>
    <xf applyAlignment="1" borderId="0" fillId="2" fontId="6" numFmtId="1" pivotButton="0" quotePrefix="0" xfId="0">
      <alignment horizontal="right"/>
    </xf>
    <xf applyAlignment="1" borderId="68" fillId="8" fontId="6" numFmtId="1" pivotButton="0" quotePrefix="0" xfId="0">
      <alignment horizontal="center"/>
    </xf>
    <xf applyAlignment="1" borderId="69" fillId="8" fontId="6" numFmtId="1" pivotButton="0" quotePrefix="0" xfId="0">
      <alignment horizontal="center"/>
    </xf>
    <xf applyAlignment="1" borderId="71" fillId="8" fontId="6" numFmtId="1" pivotButton="0" quotePrefix="0" xfId="0">
      <alignment horizontal="center"/>
    </xf>
    <xf applyAlignment="1" borderId="72" fillId="8" fontId="6" numFmtId="1" pivotButton="0" quotePrefix="0" xfId="0">
      <alignment horizontal="center"/>
    </xf>
    <xf applyAlignment="1" borderId="73" fillId="8" fontId="6" numFmtId="1" pivotButton="0" quotePrefix="0" xfId="0">
      <alignment horizontal="center"/>
    </xf>
    <xf applyAlignment="1" borderId="59" fillId="2" fontId="6" numFmtId="1" pivotButton="0" quotePrefix="0" xfId="0">
      <alignment horizontal="right"/>
    </xf>
    <xf applyAlignment="1" borderId="56" fillId="9" fontId="6" numFmtId="164" pivotButton="0" quotePrefix="0" xfId="0">
      <alignment horizontal="center"/>
    </xf>
    <xf applyAlignment="1" borderId="11" fillId="9" fontId="6" numFmtId="164" pivotButton="0" quotePrefix="0" xfId="0">
      <alignment horizontal="center"/>
    </xf>
    <xf applyAlignment="1" borderId="55" fillId="9" fontId="6" numFmtId="164" pivotButton="0" quotePrefix="0" xfId="0">
      <alignment horizontal="center"/>
    </xf>
    <xf applyAlignment="1" borderId="57" fillId="9" fontId="6" numFmtId="164" pivotButton="0" quotePrefix="0" xfId="0">
      <alignment horizontal="center"/>
    </xf>
    <xf applyAlignment="1" borderId="58" fillId="9" fontId="6" numFmtId="164" pivotButton="0" quotePrefix="0" xfId="0">
      <alignment horizontal="center"/>
    </xf>
    <xf applyAlignment="1" borderId="64" fillId="9" fontId="6" numFmtId="164" pivotButton="0" quotePrefix="0" xfId="0">
      <alignment horizontal="center"/>
    </xf>
    <xf applyAlignment="1" borderId="77" fillId="9" fontId="6" numFmtId="164" pivotButton="0" quotePrefix="0" xfId="0">
      <alignment horizontal="center"/>
    </xf>
    <xf applyAlignment="1" borderId="61" fillId="9" fontId="6" numFmtId="164" pivotButton="0" quotePrefix="0" xfId="0">
      <alignment horizontal="center"/>
    </xf>
    <xf applyAlignment="1" borderId="78" fillId="9" fontId="6" numFmtId="164" pivotButton="0" quotePrefix="0" xfId="0">
      <alignment horizontal="center"/>
    </xf>
    <xf applyAlignment="1" borderId="79" fillId="9" fontId="6" numFmtId="164" pivotButton="0" quotePrefix="0" xfId="0">
      <alignment horizontal="center"/>
    </xf>
    <xf applyAlignment="1" borderId="80" fillId="9" fontId="6" numFmtId="164" pivotButton="0" quotePrefix="0" xfId="0">
      <alignment horizontal="center"/>
    </xf>
    <xf borderId="0" fillId="0" fontId="4" numFmtId="0" pivotButton="0" quotePrefix="0" xfId="0"/>
    <xf borderId="0" fillId="0" fontId="4" numFmtId="0" pivotButton="0" quotePrefix="0" xfId="0"/>
    <xf applyAlignment="1" borderId="82" fillId="2" fontId="20" numFmtId="20" pivotButton="0" quotePrefix="0" xfId="0">
      <alignment horizontal="center" vertical="top"/>
    </xf>
    <xf applyAlignment="1" borderId="84" fillId="2" fontId="6" numFmtId="20" pivotButton="0" quotePrefix="0" xfId="0">
      <alignment horizontal="right"/>
    </xf>
    <xf applyAlignment="1" borderId="83" fillId="2" fontId="6" numFmtId="20" pivotButton="0" quotePrefix="0" xfId="0">
      <alignment horizontal="right"/>
    </xf>
    <xf applyAlignment="1" borderId="85" fillId="2" fontId="6" numFmtId="46" pivotButton="0" quotePrefix="0" xfId="0">
      <alignment horizontal="center"/>
    </xf>
    <xf applyAlignment="1" borderId="86" fillId="2" fontId="6" numFmtId="46" pivotButton="0" quotePrefix="0" xfId="0">
      <alignment horizontal="center"/>
    </xf>
    <xf applyAlignment="1" borderId="87" fillId="2" fontId="6" numFmtId="46" pivotButton="0" quotePrefix="0" xfId="0">
      <alignment horizontal="center"/>
    </xf>
    <xf applyAlignment="1" borderId="88" fillId="2" fontId="6" numFmtId="46" pivotButton="0" quotePrefix="0" xfId="0">
      <alignment horizontal="center"/>
    </xf>
    <xf borderId="0" fillId="0" fontId="0" numFmtId="174" pivotButton="0" quotePrefix="0" xfId="0"/>
    <xf borderId="89" fillId="0" fontId="17" numFmtId="1" pivotButton="0" quotePrefix="0" xfId="0"/>
    <xf borderId="89" fillId="0" fontId="13" numFmtId="1" pivotButton="0" quotePrefix="0" xfId="0"/>
    <xf applyAlignment="1" borderId="0" fillId="0" fontId="0" numFmtId="0" pivotButton="0" quotePrefix="0" xfId="0">
      <alignment horizontal="center"/>
    </xf>
    <xf borderId="0" fillId="0" fontId="0" numFmtId="0" pivotButton="0" quotePrefix="0" xfId="0"/>
    <xf borderId="0" fillId="0" fontId="0" numFmtId="10" pivotButton="0" quotePrefix="0" xfId="0"/>
    <xf borderId="0" fillId="0" fontId="0" numFmtId="164" pivotButton="0" quotePrefix="0" xfId="0"/>
    <xf applyAlignment="1" borderId="90" fillId="2" fontId="6" numFmtId="1" pivotButton="0" quotePrefix="0" xfId="0">
      <alignment horizontal="center"/>
    </xf>
    <xf applyAlignment="1" borderId="5" fillId="2" fontId="6" numFmtId="1" pivotButton="0" quotePrefix="0" xfId="0">
      <alignment horizontal="right"/>
    </xf>
    <xf applyAlignment="1" borderId="47" fillId="2" fontId="6" numFmtId="175" pivotButton="0" quotePrefix="0" xfId="0">
      <alignment horizontal="center"/>
    </xf>
    <xf applyAlignment="1" borderId="91" fillId="2" fontId="6" numFmtId="175" pivotButton="0" quotePrefix="0" xfId="0">
      <alignment horizontal="center"/>
    </xf>
    <xf applyAlignment="1" borderId="92" fillId="2" fontId="6" numFmtId="175" pivotButton="0" quotePrefix="0" xfId="0">
      <alignment horizontal="center"/>
    </xf>
    <xf applyAlignment="1" borderId="93" fillId="2" fontId="6" numFmtId="175" pivotButton="0" quotePrefix="0" xfId="0">
      <alignment horizontal="center"/>
    </xf>
    <xf applyAlignment="1" borderId="94" fillId="2" fontId="6" numFmtId="175" pivotButton="0" quotePrefix="0" xfId="0">
      <alignment horizontal="center"/>
    </xf>
    <xf applyAlignment="1" borderId="48" fillId="2" fontId="6" numFmtId="175" pivotButton="0" quotePrefix="0" xfId="0">
      <alignment horizontal="center"/>
    </xf>
    <xf applyAlignment="1" borderId="49" fillId="2" fontId="6" numFmtId="175" pivotButton="0" quotePrefix="0" xfId="0">
      <alignment horizontal="center"/>
    </xf>
    <xf applyAlignment="1" borderId="59" fillId="2" fontId="6" numFmtId="0" pivotButton="0" quotePrefix="0" xfId="0">
      <alignment horizontal="right"/>
    </xf>
    <xf applyAlignment="1" borderId="60" fillId="2" fontId="6" numFmtId="0" pivotButton="0" quotePrefix="0" xfId="0">
      <alignment horizontal="center"/>
    </xf>
    <xf applyAlignment="1" borderId="95" fillId="10" fontId="6" numFmtId="170" pivotButton="0" quotePrefix="0" xfId="0">
      <alignment horizontal="center"/>
    </xf>
    <xf applyAlignment="1" borderId="96" fillId="11" fontId="6" numFmtId="170" pivotButton="0" quotePrefix="0" xfId="0">
      <alignment horizontal="center"/>
    </xf>
    <xf applyAlignment="1" borderId="97" fillId="11" fontId="6" numFmtId="170" pivotButton="0" quotePrefix="0" xfId="0">
      <alignment horizontal="center"/>
    </xf>
    <xf applyAlignment="1" borderId="98" fillId="11" fontId="6" numFmtId="170" pivotButton="0" quotePrefix="0" xfId="0">
      <alignment horizontal="center"/>
    </xf>
    <xf applyAlignment="1" borderId="96" fillId="12" fontId="6" numFmtId="170" pivotButton="0" quotePrefix="0" xfId="0">
      <alignment horizontal="center"/>
    </xf>
    <xf applyAlignment="1" borderId="98" fillId="12" fontId="6" numFmtId="170" pivotButton="0" quotePrefix="0" xfId="0">
      <alignment horizontal="center"/>
    </xf>
    <xf applyAlignment="1" borderId="99" fillId="13" fontId="6" numFmtId="170" pivotButton="0" quotePrefix="0" xfId="0">
      <alignment horizontal="center"/>
    </xf>
    <xf applyAlignment="1" borderId="96" fillId="4" fontId="6" numFmtId="170" pivotButton="0" quotePrefix="0" xfId="0">
      <alignment horizontal="center"/>
    </xf>
    <xf applyAlignment="1" borderId="97" fillId="4" fontId="6" numFmtId="170" pivotButton="0" quotePrefix="0" xfId="0">
      <alignment horizontal="center"/>
    </xf>
    <xf applyAlignment="1" borderId="100" fillId="4" fontId="6" numFmtId="170" pivotButton="0" quotePrefix="0" xfId="0">
      <alignment horizontal="center"/>
    </xf>
    <xf applyAlignment="1" borderId="95" fillId="14" fontId="6" numFmtId="170" pivotButton="0" quotePrefix="0" xfId="0">
      <alignment horizontal="center"/>
    </xf>
    <xf applyAlignment="1" borderId="96" fillId="15" fontId="6" numFmtId="170" pivotButton="0" quotePrefix="0" xfId="0">
      <alignment horizontal="center"/>
    </xf>
    <xf applyAlignment="1" borderId="100" fillId="15" fontId="6" numFmtId="170" pivotButton="0" quotePrefix="0" xfId="0">
      <alignment horizontal="center"/>
    </xf>
    <xf applyAlignment="1" borderId="101" fillId="16" fontId="6" numFmtId="170" pivotButton="0" quotePrefix="0" xfId="0">
      <alignment horizontal="center"/>
    </xf>
    <xf applyAlignment="1" borderId="102" fillId="11" fontId="6" numFmtId="170" pivotButton="0" quotePrefix="0" xfId="0">
      <alignment horizontal="center"/>
    </xf>
    <xf applyAlignment="1" borderId="103" fillId="11" fontId="6" numFmtId="170" pivotButton="0" quotePrefix="0" xfId="0">
      <alignment horizontal="center"/>
    </xf>
    <xf applyAlignment="1" borderId="104" fillId="11" fontId="6" numFmtId="170" pivotButton="0" quotePrefix="0" xfId="0">
      <alignment horizontal="center"/>
    </xf>
    <xf applyAlignment="1" borderId="102" fillId="12" fontId="6" numFmtId="170" pivotButton="0" quotePrefix="0" xfId="0">
      <alignment horizontal="center"/>
    </xf>
    <xf applyAlignment="1" borderId="104" fillId="12" fontId="6" numFmtId="170" pivotButton="0" quotePrefix="0" xfId="0">
      <alignment horizontal="center"/>
    </xf>
    <xf applyAlignment="1" borderId="105" fillId="13" fontId="6" numFmtId="170" pivotButton="0" quotePrefix="0" xfId="0">
      <alignment horizontal="center"/>
    </xf>
    <xf applyAlignment="1" borderId="102" fillId="4" fontId="6" numFmtId="170" pivotButton="0" quotePrefix="0" xfId="0">
      <alignment horizontal="center"/>
    </xf>
    <xf applyAlignment="1" borderId="103" fillId="4" fontId="6" numFmtId="170" pivotButton="0" quotePrefix="0" xfId="0">
      <alignment horizontal="center"/>
    </xf>
    <xf applyAlignment="1" borderId="106" fillId="4" fontId="6" numFmtId="170" pivotButton="0" quotePrefix="0" xfId="0">
      <alignment horizontal="center"/>
    </xf>
    <xf applyAlignment="1" borderId="107" fillId="14" fontId="6" numFmtId="170" pivotButton="0" quotePrefix="0" xfId="0">
      <alignment horizontal="center"/>
    </xf>
    <xf applyAlignment="1" borderId="102" fillId="15" fontId="6" numFmtId="170" pivotButton="0" quotePrefix="0" xfId="0">
      <alignment horizontal="center"/>
    </xf>
    <xf applyAlignment="1" borderId="106" fillId="15" fontId="6" numFmtId="170" pivotButton="0" quotePrefix="0" xfId="0">
      <alignment horizontal="center"/>
    </xf>
    <xf applyAlignment="1" borderId="108" fillId="16" fontId="6" numFmtId="170" pivotButton="0" quotePrefix="0" xfId="0">
      <alignment horizontal="center"/>
    </xf>
    <xf borderId="0" fillId="0" fontId="0" numFmtId="0" pivotButton="0" quotePrefix="0" xfId="0"/>
    <xf applyAlignment="1" borderId="0" fillId="0" fontId="0" numFmtId="0" pivotButton="0" quotePrefix="0" xfId="0">
      <alignment horizontal="center"/>
    </xf>
    <xf borderId="0" fillId="0" fontId="0" numFmtId="0" pivotButton="0" quotePrefix="0" xfId="0"/>
    <xf borderId="0" fillId="0" fontId="0" numFmtId="170" pivotButton="0" quotePrefix="0" xfId="0"/>
    <xf applyAlignment="1" borderId="0" fillId="0" fontId="0" numFmtId="176" pivotButton="0" quotePrefix="0" xfId="0">
      <alignment horizontal="center"/>
    </xf>
    <xf applyAlignment="1" borderId="0" fillId="0" fontId="0" numFmtId="170" pivotButton="0" quotePrefix="0" xfId="0">
      <alignment horizontal="center"/>
    </xf>
    <xf applyAlignment="1" borderId="14" fillId="2" fontId="6" numFmtId="0" pivotButton="0" quotePrefix="0" xfId="0">
      <alignment horizontal="right"/>
    </xf>
    <xf applyAlignment="1" borderId="15" fillId="2" fontId="6" numFmtId="0" pivotButton="0" quotePrefix="0" xfId="0">
      <alignment horizontal="center"/>
    </xf>
    <xf applyAlignment="1" borderId="109" fillId="10" fontId="6" numFmtId="170" pivotButton="0" quotePrefix="0" xfId="0">
      <alignment horizontal="center"/>
    </xf>
    <xf applyAlignment="1" borderId="110" fillId="11" fontId="6" numFmtId="170" pivotButton="0" quotePrefix="0" xfId="0">
      <alignment horizontal="center"/>
    </xf>
    <xf applyAlignment="1" borderId="111" fillId="11" fontId="6" numFmtId="170" pivotButton="0" quotePrefix="0" xfId="0">
      <alignment horizontal="center"/>
    </xf>
    <xf applyAlignment="1" borderId="112" fillId="11" fontId="6" numFmtId="170" pivotButton="0" quotePrefix="0" xfId="0">
      <alignment horizontal="center"/>
    </xf>
    <xf applyAlignment="1" borderId="110" fillId="12" fontId="6" numFmtId="170" pivotButton="0" quotePrefix="0" xfId="0">
      <alignment horizontal="center"/>
    </xf>
    <xf applyAlignment="1" borderId="112" fillId="12" fontId="6" numFmtId="170" pivotButton="0" quotePrefix="0" xfId="0">
      <alignment horizontal="center"/>
    </xf>
    <xf applyAlignment="1" borderId="78" fillId="13" fontId="6" numFmtId="170" pivotButton="0" quotePrefix="0" xfId="0">
      <alignment horizontal="center"/>
    </xf>
    <xf applyAlignment="1" borderId="110" fillId="4" fontId="6" numFmtId="170" pivotButton="0" quotePrefix="0" xfId="0">
      <alignment horizontal="center"/>
    </xf>
    <xf applyAlignment="1" borderId="111" fillId="4" fontId="6" numFmtId="170" pivotButton="0" quotePrefix="0" xfId="0">
      <alignment horizontal="center"/>
    </xf>
    <xf applyAlignment="1" borderId="113" fillId="4" fontId="6" numFmtId="170" pivotButton="0" quotePrefix="0" xfId="0">
      <alignment horizontal="center"/>
    </xf>
    <xf applyAlignment="1" borderId="77" fillId="14" fontId="6" numFmtId="170" pivotButton="0" quotePrefix="0" xfId="0">
      <alignment horizontal="center"/>
    </xf>
    <xf applyAlignment="1" borderId="110" fillId="15" fontId="6" numFmtId="170" pivotButton="0" quotePrefix="0" xfId="0">
      <alignment horizontal="center"/>
    </xf>
    <xf applyAlignment="1" borderId="79" fillId="16" fontId="6" numFmtId="170" pivotButton="0" quotePrefix="0" xfId="0">
      <alignment horizontal="center"/>
    </xf>
    <xf applyAlignment="1" borderId="0" fillId="0" fontId="0" numFmtId="20" pivotButton="0" quotePrefix="0" xfId="0">
      <alignment horizontal="center"/>
    </xf>
    <xf applyAlignment="1" borderId="0" fillId="0" fontId="0" numFmtId="46" pivotButton="0" quotePrefix="0" xfId="0">
      <alignment horizontal="center"/>
    </xf>
    <xf applyAlignment="1" borderId="0" fillId="0" fontId="0" numFmtId="175" pivotButton="0" quotePrefix="0" xfId="0">
      <alignment horizontal="center"/>
    </xf>
    <xf applyAlignment="1" borderId="25" fillId="2" fontId="6" numFmtId="0" pivotButton="0" quotePrefix="0" xfId="0">
      <alignment horizontal="right"/>
    </xf>
    <xf applyAlignment="1" borderId="36" fillId="2" fontId="6" numFmtId="0" pivotButton="0" quotePrefix="0" xfId="0">
      <alignment horizontal="center"/>
    </xf>
    <xf applyAlignment="1" borderId="56" fillId="10" fontId="6" numFmtId="170" pivotButton="0" quotePrefix="0" xfId="0">
      <alignment horizontal="center"/>
    </xf>
    <xf applyAlignment="1" borderId="114" fillId="11" fontId="6" numFmtId="170" pivotButton="0" quotePrefix="0" xfId="0">
      <alignment horizontal="center"/>
    </xf>
    <xf applyAlignment="1" borderId="115" fillId="11" fontId="6" numFmtId="170" pivotButton="0" quotePrefix="0" xfId="0">
      <alignment horizontal="center"/>
    </xf>
    <xf applyAlignment="1" borderId="116" fillId="11" fontId="6" numFmtId="170" pivotButton="0" quotePrefix="0" xfId="0">
      <alignment horizontal="center"/>
    </xf>
    <xf applyAlignment="1" borderId="114" fillId="12" fontId="6" numFmtId="170" pivotButton="0" quotePrefix="0" xfId="0">
      <alignment horizontal="center"/>
    </xf>
    <xf applyAlignment="1" borderId="116" fillId="12" fontId="6" numFmtId="170" pivotButton="0" quotePrefix="0" xfId="0">
      <alignment horizontal="center"/>
    </xf>
    <xf applyAlignment="1" borderId="55" fillId="13" fontId="6" numFmtId="170" pivotButton="0" quotePrefix="0" xfId="0">
      <alignment horizontal="center"/>
    </xf>
    <xf applyAlignment="1" borderId="114" fillId="4" fontId="6" numFmtId="170" pivotButton="0" quotePrefix="0" xfId="0">
      <alignment horizontal="center"/>
    </xf>
    <xf applyAlignment="1" borderId="115" fillId="4" fontId="6" numFmtId="170" pivotButton="0" quotePrefix="0" xfId="0">
      <alignment horizontal="center"/>
    </xf>
    <xf applyAlignment="1" borderId="117" fillId="4" fontId="6" numFmtId="170" pivotButton="0" quotePrefix="0" xfId="0">
      <alignment horizontal="center"/>
    </xf>
    <xf applyAlignment="1" borderId="56" fillId="14" fontId="6" numFmtId="170" pivotButton="0" quotePrefix="0" xfId="0">
      <alignment horizontal="center"/>
    </xf>
    <xf applyAlignment="1" borderId="114" fillId="15" fontId="6" numFmtId="170" pivotButton="0" quotePrefix="0" xfId="0">
      <alignment horizontal="center"/>
    </xf>
    <xf applyAlignment="1" borderId="117" fillId="15" fontId="6" numFmtId="170" pivotButton="0" quotePrefix="0" xfId="0">
      <alignment horizontal="center"/>
    </xf>
    <xf applyAlignment="1" borderId="57" fillId="16" fontId="6" numFmtId="170" pivotButton="0" quotePrefix="0" xfId="0">
      <alignment horizontal="center"/>
    </xf>
    <xf borderId="0" fillId="0" fontId="0" numFmtId="2" pivotButton="0" quotePrefix="0" xfId="0"/>
    <xf applyAlignment="1" borderId="107" fillId="10" fontId="6" numFmtId="170" pivotButton="0" quotePrefix="0" xfId="0">
      <alignment horizontal="center"/>
    </xf>
    <xf applyAlignment="1" borderId="118" fillId="15" fontId="6" numFmtId="170" pivotButton="0" quotePrefix="0" xfId="0">
      <alignment horizontal="center"/>
    </xf>
    <xf borderId="0" fillId="0" fontId="0" numFmtId="0" pivotButton="0" quotePrefix="0" xfId="0"/>
    <xf applyAlignment="1" borderId="119" fillId="4" fontId="6" numFmtId="170" pivotButton="0" quotePrefix="0" xfId="0">
      <alignment horizontal="center"/>
    </xf>
    <xf applyAlignment="1" borderId="120" fillId="4" fontId="6" numFmtId="170" pivotButton="0" quotePrefix="0" xfId="0">
      <alignment horizontal="center"/>
    </xf>
    <xf applyAlignment="1" borderId="64" fillId="14" fontId="6" numFmtId="170" pivotButton="0" quotePrefix="0" xfId="0">
      <alignment horizontal="center"/>
    </xf>
    <xf applyAlignment="1" borderId="121" fillId="15" fontId="6" numFmtId="170" pivotButton="0" quotePrefix="0" xfId="0">
      <alignment horizontal="center"/>
    </xf>
    <xf applyAlignment="1" borderId="122" fillId="15" fontId="6" numFmtId="170" pivotButton="0" quotePrefix="0" xfId="0">
      <alignment horizontal="center"/>
    </xf>
    <xf applyAlignment="1" borderId="65" fillId="16" fontId="6" numFmtId="170" pivotButton="0" quotePrefix="0" xfId="0">
      <alignment horizontal="center"/>
    </xf>
    <xf borderId="0" fillId="0" fontId="0" numFmtId="0" pivotButton="0" quotePrefix="0" xfId="0"/>
    <xf borderId="32" fillId="17" fontId="21" numFmtId="0" pivotButton="0" quotePrefix="0" xfId="0"/>
    <xf applyAlignment="1" borderId="77" fillId="10" fontId="6" numFmtId="170" pivotButton="0" quotePrefix="0" xfId="0">
      <alignment horizontal="center"/>
    </xf>
    <xf applyAlignment="1" borderId="112" fillId="4" fontId="6" numFmtId="170" pivotButton="0" quotePrefix="0" xfId="0">
      <alignment horizontal="center"/>
    </xf>
    <xf borderId="44" fillId="17" fontId="22" numFmtId="0" pivotButton="0" quotePrefix="0" xfId="0"/>
    <xf borderId="4" fillId="17" fontId="22" numFmtId="0" pivotButton="0" quotePrefix="0" xfId="0"/>
    <xf applyAlignment="1" borderId="125" fillId="17" fontId="21" numFmtId="0" pivotButton="0" quotePrefix="0" xfId="0">
      <alignment horizontal="center"/>
    </xf>
    <xf borderId="0" fillId="0" fontId="23" numFmtId="170" pivotButton="0" quotePrefix="0" xfId="0"/>
    <xf applyAlignment="1" borderId="30" fillId="0" fontId="0" numFmtId="0" pivotButton="0" quotePrefix="0" xfId="0">
      <alignment horizontal="center"/>
    </xf>
    <xf borderId="30" fillId="0" fontId="0" numFmtId="0" pivotButton="0" quotePrefix="0" xfId="0"/>
    <xf borderId="30" fillId="0" fontId="0" numFmtId="0" pivotButton="0" quotePrefix="0" xfId="0"/>
    <xf applyAlignment="1" borderId="126" fillId="4" fontId="6" numFmtId="170" pivotButton="0" quotePrefix="0" xfId="0">
      <alignment horizontal="center"/>
    </xf>
    <xf borderId="14" fillId="17" fontId="22" numFmtId="0" pivotButton="0" quotePrefix="0" xfId="0"/>
    <xf borderId="18" fillId="17" fontId="22" numFmtId="0" pivotButton="0" quotePrefix="0" xfId="0"/>
    <xf applyAlignment="1" applyProtection="1" borderId="87" fillId="0" fontId="0" numFmtId="0" pivotButton="0" quotePrefix="0" xfId="0">
      <alignment horizontal="center"/>
      <protection hidden="0" locked="0"/>
    </xf>
    <xf applyAlignment="1" borderId="127" fillId="0" fontId="0" numFmtId="0" pivotButton="0" quotePrefix="0" xfId="0">
      <alignment horizontal="center"/>
    </xf>
    <xf applyAlignment="1" borderId="20" fillId="0" fontId="0" numFmtId="0" pivotButton="0" quotePrefix="0" xfId="0">
      <alignment horizontal="center"/>
    </xf>
    <xf applyAlignment="1" borderId="20" fillId="0" fontId="0" numFmtId="0" pivotButton="0" quotePrefix="0" xfId="0">
      <alignment horizontal="center"/>
    </xf>
    <xf applyAlignment="1" borderId="128" fillId="0" fontId="0" numFmtId="0" pivotButton="0" quotePrefix="0" xfId="0">
      <alignment horizontal="center"/>
    </xf>
    <xf applyAlignment="1" borderId="104" fillId="4" fontId="6" numFmtId="170" pivotButton="0" quotePrefix="0" xfId="0">
      <alignment horizontal="center"/>
    </xf>
    <xf applyAlignment="1" borderId="129" fillId="17" fontId="22" numFmtId="170" pivotButton="0" quotePrefix="0" xfId="0">
      <alignment horizontal="center"/>
    </xf>
    <xf applyAlignment="1" borderId="130" fillId="17" fontId="22" numFmtId="170" pivotButton="0" quotePrefix="0" xfId="0">
      <alignment horizontal="center"/>
    </xf>
    <xf applyAlignment="1" borderId="131" fillId="17" fontId="22" numFmtId="170" pivotButton="0" quotePrefix="0" xfId="0">
      <alignment horizontal="center"/>
    </xf>
    <xf applyAlignment="1" borderId="132" fillId="17" fontId="22" numFmtId="170" pivotButton="0" quotePrefix="0" xfId="0">
      <alignment horizontal="center"/>
    </xf>
    <xf applyAlignment="1" borderId="133" fillId="17" fontId="22" numFmtId="170" pivotButton="0" quotePrefix="0" xfId="0">
      <alignment horizontal="center"/>
    </xf>
    <xf borderId="0" fillId="0" fontId="22" numFmtId="170" pivotButton="0" quotePrefix="0" xfId="0"/>
    <xf applyAlignment="1" borderId="134" fillId="0" fontId="4" numFmtId="0" pivotButton="0" quotePrefix="0" xfId="0">
      <alignment horizontal="center"/>
    </xf>
    <xf applyAlignment="1" borderId="0" fillId="0" fontId="4" numFmtId="0" pivotButton="0" quotePrefix="0" xfId="0">
      <alignment horizontal="center"/>
    </xf>
    <xf applyAlignment="1" borderId="9" fillId="0" fontId="4" numFmtId="0" pivotButton="0" quotePrefix="0" xfId="0">
      <alignment horizontal="center"/>
    </xf>
    <xf applyAlignment="1" borderId="0" fillId="0" fontId="0" numFmtId="20" pivotButton="0" quotePrefix="0" xfId="0">
      <alignment horizontal="center"/>
    </xf>
    <xf applyAlignment="1" borderId="137" fillId="18" fontId="4" numFmtId="175" pivotButton="0" quotePrefix="0" xfId="0">
      <alignment horizontal="center"/>
    </xf>
    <xf applyAlignment="1" borderId="138" fillId="18" fontId="4" numFmtId="170" pivotButton="0" quotePrefix="0" xfId="0">
      <alignment horizontal="center"/>
    </xf>
    <xf borderId="0" fillId="0" fontId="4" numFmtId="177" pivotButton="0" quotePrefix="0" xfId="0"/>
    <xf applyAlignment="1" borderId="139" fillId="0" fontId="0" numFmtId="0" pivotButton="0" quotePrefix="0" xfId="0">
      <alignment horizontal="center"/>
    </xf>
    <xf applyAlignment="1" borderId="139" fillId="0" fontId="0" numFmtId="0" pivotButton="0" quotePrefix="0" xfId="0">
      <alignment horizontal="center"/>
    </xf>
    <xf borderId="0" fillId="0" fontId="0" numFmtId="46" pivotButton="0" quotePrefix="0" xfId="0"/>
    <xf applyAlignment="1" applyProtection="1" borderId="140" fillId="0" fontId="0" numFmtId="21" pivotButton="0" quotePrefix="0" xfId="0">
      <alignment horizontal="center"/>
      <protection hidden="0" locked="0"/>
    </xf>
    <xf applyAlignment="1" applyProtection="1" borderId="141" fillId="0" fontId="0" numFmtId="170" pivotButton="0" quotePrefix="0" xfId="0">
      <alignment horizontal="center"/>
      <protection hidden="0" locked="0"/>
    </xf>
    <xf applyAlignment="1" applyProtection="1" borderId="141" fillId="0" fontId="0" numFmtId="20" pivotButton="0" quotePrefix="0" xfId="0">
      <alignment horizontal="center"/>
      <protection hidden="0" locked="0"/>
    </xf>
    <xf applyAlignment="1" applyProtection="1" borderId="8" fillId="0" fontId="0" numFmtId="0" pivotButton="0" quotePrefix="0" xfId="0">
      <alignment horizontal="center"/>
      <protection hidden="0" locked="0"/>
    </xf>
    <xf applyAlignment="1" borderId="142" fillId="0" fontId="0" numFmtId="0" pivotButton="0" quotePrefix="0" xfId="0">
      <alignment horizontal="center"/>
    </xf>
    <xf applyAlignment="1" borderId="142" fillId="0" fontId="0" numFmtId="0" pivotButton="0" quotePrefix="0" xfId="0">
      <alignment horizontal="center"/>
    </xf>
    <xf applyAlignment="1" borderId="116" fillId="4" fontId="6" numFmtId="170" pivotButton="0" quotePrefix="0" xfId="0">
      <alignment horizontal="center"/>
    </xf>
    <xf applyAlignment="1" applyProtection="1" borderId="143" fillId="0" fontId="0" numFmtId="21" pivotButton="0" quotePrefix="0" xfId="0">
      <alignment horizontal="center"/>
      <protection hidden="0" locked="0"/>
    </xf>
    <xf applyAlignment="1" applyProtection="1" borderId="139" fillId="0" fontId="0" numFmtId="170" pivotButton="0" quotePrefix="0" xfId="0">
      <alignment horizontal="center"/>
      <protection hidden="0" locked="0"/>
    </xf>
    <xf applyAlignment="1" applyProtection="1" borderId="139" fillId="0" fontId="0" numFmtId="20" pivotButton="0" quotePrefix="0" xfId="0">
      <alignment horizontal="center"/>
      <protection hidden="0" locked="0"/>
    </xf>
    <xf applyAlignment="1" applyProtection="1" borderId="10" fillId="0" fontId="0" numFmtId="0" pivotButton="0" quotePrefix="0" xfId="0">
      <alignment horizontal="center"/>
      <protection hidden="0" locked="0"/>
    </xf>
    <xf applyAlignment="1" borderId="144" fillId="18" fontId="4" numFmtId="175" pivotButton="0" quotePrefix="0" xfId="0">
      <alignment horizontal="center"/>
    </xf>
    <xf applyAlignment="1" borderId="145" fillId="18" fontId="4" numFmtId="170" pivotButton="0" quotePrefix="0" xfId="0">
      <alignment horizontal="center"/>
    </xf>
    <xf applyAlignment="1" applyProtection="1" borderId="146" fillId="0" fontId="0" numFmtId="21" pivotButton="0" quotePrefix="0" xfId="0">
      <alignment horizontal="center"/>
      <protection hidden="0" locked="0"/>
    </xf>
    <xf applyAlignment="1" applyProtection="1" borderId="147" fillId="0" fontId="0" numFmtId="170" pivotButton="0" quotePrefix="0" xfId="0">
      <alignment horizontal="center"/>
      <protection hidden="0" locked="0"/>
    </xf>
    <xf applyAlignment="1" applyProtection="1" borderId="147" fillId="0" fontId="0" numFmtId="20" pivotButton="0" quotePrefix="0" xfId="0">
      <alignment horizontal="center"/>
      <protection hidden="0" locked="0"/>
    </xf>
    <xf applyAlignment="1" applyProtection="1" borderId="17" fillId="0" fontId="0" numFmtId="0" pivotButton="0" quotePrefix="0" xfId="0">
      <alignment horizontal="center"/>
      <protection hidden="0" locked="0"/>
    </xf>
    <xf applyAlignment="1" borderId="148" fillId="0" fontId="0" numFmtId="0" pivotButton="0" quotePrefix="0" xfId="0">
      <alignment horizontal="center"/>
    </xf>
    <xf applyAlignment="1" borderId="148" fillId="0" fontId="0" numFmtId="0" pivotButton="0" quotePrefix="0" xfId="0">
      <alignment horizontal="center"/>
    </xf>
    <xf applyAlignment="1" borderId="149" fillId="18" fontId="0" numFmtId="21" pivotButton="0" quotePrefix="0" xfId="0">
      <alignment horizontal="center"/>
    </xf>
    <xf applyAlignment="1" borderId="150" fillId="18" fontId="0" numFmtId="170" pivotButton="0" quotePrefix="0" xfId="0">
      <alignment horizontal="center"/>
    </xf>
    <xf applyAlignment="1" borderId="150" fillId="18" fontId="0" numFmtId="20" pivotButton="0" quotePrefix="0" xfId="0">
      <alignment horizontal="center"/>
    </xf>
    <xf applyAlignment="1" borderId="151" fillId="18" fontId="0" numFmtId="170" pivotButton="0" quotePrefix="0" xfId="0">
      <alignment horizontal="center"/>
    </xf>
    <xf applyAlignment="1" borderId="152" fillId="18" fontId="4" numFmtId="0" pivotButton="0" quotePrefix="0" xfId="0">
      <alignment horizontal="center"/>
    </xf>
    <xf applyAlignment="1" borderId="153" fillId="18" fontId="4" numFmtId="170" pivotButton="0" quotePrefix="0" xfId="0">
      <alignment horizontal="center"/>
    </xf>
    <xf borderId="0" fillId="0" fontId="0" numFmtId="0" pivotButton="0" quotePrefix="0" xfId="0"/>
    <xf borderId="0" fillId="0" fontId="4" numFmtId="0" pivotButton="0" quotePrefix="0" xfId="0"/>
    <xf borderId="0" fillId="0" fontId="4" numFmtId="178" pivotButton="0" quotePrefix="0" xfId="0"/>
    <xf applyAlignment="1" borderId="155" fillId="11" fontId="6" numFmtId="170" pivotButton="0" quotePrefix="0" xfId="0">
      <alignment horizontal="center"/>
    </xf>
    <xf applyAlignment="1" borderId="156" fillId="11" fontId="6" numFmtId="170" pivotButton="0" quotePrefix="0" xfId="0">
      <alignment horizontal="center"/>
    </xf>
    <xf applyAlignment="1" borderId="157" fillId="11" fontId="6" numFmtId="170" pivotButton="0" quotePrefix="0" xfId="0">
      <alignment horizontal="center"/>
    </xf>
    <xf applyAlignment="1" borderId="155" fillId="12" fontId="6" numFmtId="170" pivotButton="0" quotePrefix="0" xfId="0">
      <alignment horizontal="center"/>
    </xf>
    <xf applyAlignment="1" borderId="157" fillId="12" fontId="6" numFmtId="170" pivotButton="0" quotePrefix="0" xfId="0">
      <alignment horizontal="center"/>
    </xf>
    <xf applyAlignment="1" borderId="158" fillId="13" fontId="6" numFmtId="170" pivotButton="0" quotePrefix="0" xfId="0">
      <alignment horizontal="center"/>
    </xf>
    <xf applyAlignment="1" borderId="155" fillId="4" fontId="6" numFmtId="170" pivotButton="0" quotePrefix="0" xfId="0">
      <alignment horizontal="center"/>
    </xf>
    <xf applyAlignment="1" borderId="159" fillId="4" fontId="6" numFmtId="170" pivotButton="0" quotePrefix="0" xfId="0">
      <alignment horizontal="center"/>
    </xf>
    <xf borderId="124" fillId="0" fontId="0" numFmtId="0" pivotButton="0" quotePrefix="0" xfId="0"/>
    <xf applyAlignment="1" borderId="124" fillId="0" fontId="0" numFmtId="0" pivotButton="0" quotePrefix="0" xfId="0">
      <alignment horizontal="center"/>
    </xf>
    <xf borderId="124" fillId="0" fontId="6" numFmtId="0" pivotButton="0" quotePrefix="0" xfId="0"/>
    <xf applyProtection="1" borderId="164" fillId="2" fontId="25" numFmtId="0" pivotButton="0" quotePrefix="0" xfId="0">
      <protection hidden="0" locked="0"/>
    </xf>
    <xf applyAlignment="1" borderId="125" fillId="2" fontId="11" numFmtId="20" pivotButton="0" quotePrefix="0" xfId="0">
      <alignment horizontal="center"/>
    </xf>
    <xf applyAlignment="1" borderId="130" fillId="19" fontId="26" numFmtId="179" pivotButton="0" quotePrefix="0" xfId="0">
      <alignment horizontal="center"/>
    </xf>
    <xf applyAlignment="1" borderId="130" fillId="19" fontId="6" numFmtId="179" pivotButton="0" quotePrefix="0" xfId="0">
      <alignment horizontal="center"/>
    </xf>
    <xf applyAlignment="1" borderId="133" fillId="19" fontId="6" numFmtId="179" pivotButton="0" quotePrefix="0" xfId="0">
      <alignment horizontal="center"/>
    </xf>
    <xf applyAlignment="1" borderId="170" fillId="2" fontId="10" numFmtId="20" pivotButton="0" quotePrefix="0" xfId="0">
      <alignment horizontal="center"/>
    </xf>
    <xf applyAlignment="1" borderId="24" fillId="2" fontId="11" numFmtId="0" pivotButton="0" quotePrefix="0" xfId="0">
      <alignment horizontal="left"/>
    </xf>
    <xf applyAlignment="1" borderId="144" fillId="2" fontId="11" numFmtId="0" pivotButton="0" quotePrefix="0" xfId="0">
      <alignment horizontal="center"/>
    </xf>
    <xf applyAlignment="1" applyProtection="1" borderId="138" fillId="0" fontId="7" numFmtId="0" pivotButton="0" quotePrefix="0" xfId="0">
      <alignment horizontal="center"/>
      <protection hidden="0" locked="0"/>
    </xf>
    <xf borderId="0" fillId="0" fontId="10" numFmtId="0" pivotButton="0" quotePrefix="0" xfId="0"/>
    <xf applyAlignment="1" borderId="136" fillId="13" fontId="26" numFmtId="164" pivotButton="0" quotePrefix="0" xfId="0">
      <alignment horizontal="center"/>
    </xf>
    <xf applyAlignment="1" borderId="136" fillId="13" fontId="6" numFmtId="164" pivotButton="0" quotePrefix="0" xfId="0">
      <alignment horizontal="center"/>
    </xf>
    <xf applyAlignment="1" borderId="154" fillId="13" fontId="6" numFmtId="164" pivotButton="0" quotePrefix="0" xfId="0">
      <alignment horizontal="center"/>
    </xf>
    <xf applyAlignment="1" applyProtection="1" borderId="176" fillId="0" fontId="7" numFmtId="180" pivotButton="0" quotePrefix="0" xfId="0">
      <alignment horizontal="center"/>
      <protection hidden="0" locked="0"/>
    </xf>
    <xf applyAlignment="1" borderId="146" fillId="2" fontId="11" numFmtId="0" pivotButton="0" quotePrefix="0" xfId="0">
      <alignment horizontal="center"/>
    </xf>
    <xf applyAlignment="1" borderId="147" fillId="2" fontId="11" numFmtId="0" pivotButton="0" quotePrefix="0" xfId="0">
      <alignment horizontal="center"/>
    </xf>
    <xf applyAlignment="1" borderId="177" fillId="2" fontId="11" numFmtId="0" pivotButton="0" quotePrefix="0" xfId="0">
      <alignment horizontal="center"/>
    </xf>
    <xf applyProtection="1" borderId="178" fillId="2" fontId="12" numFmtId="0" pivotButton="0" quotePrefix="0" xfId="0">
      <protection hidden="0" locked="0"/>
    </xf>
    <xf applyAlignment="1" borderId="160" fillId="2" fontId="11" numFmtId="0" pivotButton="0" quotePrefix="0" xfId="0">
      <alignment horizontal="center"/>
    </xf>
    <xf applyAlignment="1" borderId="147" fillId="13" fontId="26" numFmtId="170" pivotButton="0" quotePrefix="0" xfId="0">
      <alignment horizontal="center"/>
    </xf>
    <xf applyAlignment="1" borderId="147" fillId="13" fontId="6" numFmtId="170" pivotButton="0" quotePrefix="0" xfId="0">
      <alignment horizontal="center"/>
    </xf>
    <xf applyAlignment="1" borderId="160" fillId="13" fontId="6" numFmtId="170" pivotButton="0" quotePrefix="0" xfId="0">
      <alignment horizontal="center"/>
    </xf>
    <xf applyAlignment="1" applyProtection="1" borderId="181" fillId="0" fontId="7" numFmtId="180" pivotButton="0" quotePrefix="0" xfId="0">
      <alignment horizontal="center"/>
      <protection hidden="0" locked="0"/>
    </xf>
    <xf applyAlignment="1" borderId="182" fillId="10" fontId="6" numFmtId="0" pivotButton="0" quotePrefix="0" xfId="0">
      <alignment horizontal="center"/>
    </xf>
    <xf applyAlignment="1" borderId="183" fillId="10" fontId="6" numFmtId="46" pivotButton="0" quotePrefix="0" xfId="0">
      <alignment horizontal="center"/>
    </xf>
    <xf applyAlignment="1" borderId="184" fillId="10" fontId="6" numFmtId="164" pivotButton="0" quotePrefix="0" xfId="0">
      <alignment horizontal="center"/>
    </xf>
    <xf applyAlignment="1" borderId="11" fillId="11" fontId="6" numFmtId="46" pivotButton="0" quotePrefix="0" xfId="0">
      <alignment horizontal="center"/>
    </xf>
    <xf applyAlignment="1" borderId="185" fillId="11" fontId="6" numFmtId="181" pivotButton="0" quotePrefix="0" xfId="0">
      <alignment horizontal="center"/>
    </xf>
    <xf applyAlignment="1" borderId="143" fillId="10" fontId="6" numFmtId="0" pivotButton="0" quotePrefix="0" xfId="0">
      <alignment horizontal="center"/>
    </xf>
    <xf applyAlignment="1" borderId="187" fillId="10" fontId="6" numFmtId="46" pivotButton="0" quotePrefix="0" xfId="0">
      <alignment horizontal="center"/>
    </xf>
    <xf applyAlignment="1" borderId="188" fillId="10" fontId="6" numFmtId="164" pivotButton="0" quotePrefix="0" xfId="0">
      <alignment horizontal="center"/>
    </xf>
    <xf applyAlignment="1" borderId="189" fillId="11" fontId="6" numFmtId="46" pivotButton="0" quotePrefix="0" xfId="0">
      <alignment horizontal="center"/>
    </xf>
    <xf applyAlignment="1" borderId="190" fillId="11" fontId="6" numFmtId="181" pivotButton="0" quotePrefix="0" xfId="0">
      <alignment horizontal="center"/>
    </xf>
    <xf borderId="59" fillId="0" fontId="0" numFmtId="0" pivotButton="0" quotePrefix="0" xfId="0"/>
    <xf applyAlignment="1" borderId="0" fillId="0" fontId="6" numFmtId="0" pivotButton="0" quotePrefix="0" xfId="0">
      <alignment horizontal="center"/>
    </xf>
    <xf borderId="0" fillId="0" fontId="6" numFmtId="0" pivotButton="0" quotePrefix="0" xfId="0"/>
    <xf applyProtection="1" borderId="186" fillId="2" fontId="25" numFmtId="21" pivotButton="0" quotePrefix="0" xfId="0">
      <protection hidden="0" locked="0"/>
    </xf>
    <xf applyAlignment="1" borderId="133" fillId="2" fontId="6" numFmtId="0" pivotButton="0" quotePrefix="0" xfId="0">
      <alignment horizontal="center"/>
    </xf>
    <xf applyAlignment="1" applyProtection="1" borderId="137" fillId="0" fontId="10" numFmtId="46" pivotButton="0" quotePrefix="0" xfId="0">
      <alignment horizontal="center"/>
      <protection hidden="0" locked="0"/>
    </xf>
    <xf applyAlignment="1" applyProtection="1" borderId="8" fillId="0" fontId="10" numFmtId="46" pivotButton="0" quotePrefix="0" xfId="0">
      <alignment horizontal="center"/>
      <protection hidden="0" locked="0"/>
    </xf>
    <xf applyAlignment="1" borderId="148" fillId="16" fontId="6" numFmtId="164" pivotButton="0" quotePrefix="0" xfId="0">
      <alignment horizontal="center"/>
    </xf>
    <xf applyAlignment="1" borderId="154" fillId="16" fontId="6" numFmtId="164" pivotButton="0" quotePrefix="0" xfId="0">
      <alignment horizontal="center"/>
    </xf>
    <xf applyAlignment="1" borderId="141" fillId="15" fontId="6" numFmtId="164" pivotButton="0" quotePrefix="0" xfId="0">
      <alignment horizontal="center"/>
    </xf>
    <xf applyAlignment="1" borderId="138" fillId="15" fontId="6" numFmtId="164" pivotButton="0" quotePrefix="0" xfId="0">
      <alignment horizontal="center"/>
    </xf>
    <xf applyAlignment="1" borderId="147" fillId="13" fontId="6" numFmtId="164" pivotButton="0" quotePrefix="0" xfId="0">
      <alignment horizontal="center"/>
    </xf>
    <xf applyAlignment="1" borderId="160" fillId="13" fontId="6" numFmtId="164" pivotButton="0" quotePrefix="0" xfId="0">
      <alignment horizontal="center"/>
    </xf>
    <xf applyAlignment="1" borderId="59" fillId="0" fontId="0" numFmtId="0" pivotButton="0" quotePrefix="0" xfId="0">
      <alignment horizontal="center"/>
    </xf>
    <xf borderId="191" fillId="0" fontId="0" numFmtId="0" pivotButton="0" quotePrefix="0" xfId="0"/>
    <xf applyAlignment="1" borderId="58" fillId="9" fontId="11" numFmtId="182" pivotButton="0" quotePrefix="0" xfId="0">
      <alignment horizontal="center"/>
    </xf>
    <xf applyProtection="1" borderId="133" fillId="2" fontId="25" numFmtId="0" pivotButton="0" quotePrefix="0" xfId="0">
      <protection hidden="0" locked="0"/>
    </xf>
    <xf applyAlignment="1" borderId="192" fillId="9" fontId="11" numFmtId="183" pivotButton="0" quotePrefix="0" xfId="0">
      <alignment horizontal="center"/>
    </xf>
    <xf applyAlignment="1" borderId="130" fillId="2" fontId="13" numFmtId="179" pivotButton="0" quotePrefix="0" xfId="0">
      <alignment horizontal="center"/>
    </xf>
    <xf applyAlignment="1" borderId="130" fillId="2" fontId="10" numFmtId="179" pivotButton="0" quotePrefix="0" xfId="0">
      <alignment horizontal="center"/>
    </xf>
    <xf applyAlignment="1" borderId="133" fillId="2" fontId="10" numFmtId="179" pivotButton="0" quotePrefix="0" xfId="0">
      <alignment horizontal="center"/>
    </xf>
    <xf applyAlignment="1" borderId="193" fillId="9" fontId="11" numFmtId="184" pivotButton="0" quotePrefix="0" xfId="0">
      <alignment horizontal="center"/>
    </xf>
    <xf applyAlignment="1" borderId="136" fillId="10" fontId="10" numFmtId="170" pivotButton="0" quotePrefix="0" xfId="0">
      <alignment horizontal="center"/>
    </xf>
    <xf applyAlignment="1" borderId="154" fillId="10" fontId="10" numFmtId="170" pivotButton="0" quotePrefix="0" xfId="0">
      <alignment horizontal="center"/>
    </xf>
    <xf applyAlignment="1" borderId="66" fillId="9" fontId="11" numFmtId="185" pivotButton="0" quotePrefix="0" xfId="0">
      <alignment horizontal="center"/>
    </xf>
    <xf applyAlignment="1" borderId="147" fillId="10" fontId="10" numFmtId="164" pivotButton="0" quotePrefix="0" xfId="0">
      <alignment horizontal="center"/>
    </xf>
    <xf applyAlignment="1" borderId="147" fillId="10" fontId="32" numFmtId="164" pivotButton="0" quotePrefix="0" xfId="0">
      <alignment horizontal="center"/>
    </xf>
    <xf applyAlignment="1" borderId="160" fillId="10" fontId="32" numFmtId="164" pivotButton="0" quotePrefix="0" xfId="0">
      <alignment horizontal="center"/>
    </xf>
    <xf applyAlignment="1" applyProtection="1" borderId="73" fillId="0" fontId="33" numFmtId="186" pivotButton="0" quotePrefix="0" xfId="0">
      <alignment horizontal="center"/>
      <protection hidden="0" locked="0"/>
    </xf>
    <xf applyAlignment="1" borderId="69" fillId="6" fontId="10" numFmtId="0" pivotButton="0" quotePrefix="0" xfId="0">
      <alignment horizontal="right"/>
    </xf>
    <xf applyAlignment="1" applyProtection="1" borderId="169" fillId="6" fontId="34" numFmtId="0" pivotButton="0" quotePrefix="0" xfId="0">
      <alignment horizontal="right"/>
      <protection hidden="0" locked="0"/>
    </xf>
    <xf applyAlignment="1" borderId="130" fillId="6" fontId="10" numFmtId="0" pivotButton="0" quotePrefix="0" xfId="0">
      <alignment horizontal="center"/>
    </xf>
    <xf applyAlignment="1" borderId="130" fillId="6" fontId="10" numFmtId="9" pivotButton="0" quotePrefix="0" xfId="0">
      <alignment horizontal="center"/>
    </xf>
    <xf applyAlignment="1" borderId="133" fillId="6" fontId="10" numFmtId="9" pivotButton="0" quotePrefix="0" xfId="0">
      <alignment horizontal="center"/>
    </xf>
    <xf applyAlignment="1" borderId="194" fillId="2" fontId="11" numFmtId="0" pivotButton="0" quotePrefix="0" xfId="0">
      <alignment horizontal="center"/>
    </xf>
    <xf applyAlignment="1" borderId="50" fillId="2" fontId="10" numFmtId="20" pivotButton="0" quotePrefix="0" xfId="0">
      <alignment horizontal="center"/>
    </xf>
    <xf applyProtection="1" borderId="186" fillId="2" fontId="25" numFmtId="0" pivotButton="0" quotePrefix="0" xfId="1">
      <protection hidden="0" locked="0"/>
    </xf>
    <xf applyAlignment="1" applyProtection="1" borderId="195" fillId="0" fontId="7" numFmtId="21" pivotButton="0" quotePrefix="0" xfId="0">
      <alignment horizontal="center"/>
      <protection hidden="0" locked="0"/>
    </xf>
    <xf applyAlignment="1" borderId="196" fillId="10" fontId="6" numFmtId="46" pivotButton="0" quotePrefix="0" xfId="0">
      <alignment horizontal="center"/>
    </xf>
    <xf applyAlignment="1" borderId="197" fillId="10" fontId="6" numFmtId="164" pivotButton="0" quotePrefix="0" xfId="0">
      <alignment horizontal="center"/>
    </xf>
    <xf applyAlignment="1" borderId="61" fillId="11" fontId="6" numFmtId="46" pivotButton="0" quotePrefix="0" xfId="0">
      <alignment horizontal="center"/>
    </xf>
    <xf applyAlignment="1" borderId="198" fillId="11" fontId="6" numFmtId="181" pivotButton="0" quotePrefix="0" xfId="0">
      <alignment horizontal="center"/>
    </xf>
    <xf applyAlignment="1" applyProtection="1" borderId="178" fillId="0" fontId="10" numFmtId="46" pivotButton="0" quotePrefix="0" xfId="0">
      <alignment horizontal="center"/>
      <protection hidden="0" locked="0"/>
    </xf>
    <xf applyAlignment="1" applyProtection="1" borderId="17" fillId="0" fontId="10" numFmtId="46" pivotButton="0" quotePrefix="0" xfId="0">
      <alignment horizontal="center"/>
      <protection hidden="0" locked="0"/>
    </xf>
    <xf applyAlignment="1" borderId="130" fillId="2" fontId="10" numFmtId="0" pivotButton="0" quotePrefix="0" xfId="0">
      <alignment horizontal="center"/>
    </xf>
    <xf applyAlignment="1" borderId="133" fillId="2" fontId="10" numFmtId="0" pivotButton="0" quotePrefix="0" xfId="0">
      <alignment horizontal="center"/>
    </xf>
    <xf applyAlignment="1" applyProtection="1" borderId="199" fillId="0" fontId="7" numFmtId="187" pivotButton="0" quotePrefix="0" xfId="0">
      <alignment horizontal="center"/>
      <protection hidden="0" locked="0"/>
    </xf>
    <xf applyProtection="1" borderId="54" fillId="2" fontId="35" numFmtId="0" pivotButton="0" quotePrefix="0" xfId="0">
      <protection hidden="0" locked="0"/>
    </xf>
    <xf applyAlignment="1" borderId="139" fillId="10" fontId="10" numFmtId="164" pivotButton="0" quotePrefix="0" xfId="0">
      <alignment horizontal="center"/>
    </xf>
    <xf applyAlignment="1" borderId="145" fillId="10" fontId="10" numFmtId="164" pivotButton="0" quotePrefix="0" xfId="0">
      <alignment horizontal="center"/>
    </xf>
    <xf applyAlignment="1" borderId="88" fillId="9" fontId="24" numFmtId="182" pivotButton="0" quotePrefix="0" xfId="0">
      <alignment horizontal="center"/>
    </xf>
    <xf borderId="89" fillId="2" fontId="28" numFmtId="0" pivotButton="0" quotePrefix="0" xfId="1"/>
    <xf applyAlignment="1" borderId="160" fillId="10" fontId="10" numFmtId="164" pivotButton="0" quotePrefix="0" xfId="0">
      <alignment horizontal="center"/>
    </xf>
    <xf applyAlignment="1" borderId="0" fillId="0" fontId="11" numFmtId="164" pivotButton="0" quotePrefix="0" xfId="0">
      <alignment horizontal="left"/>
    </xf>
    <xf applyAlignment="1" borderId="32" fillId="0" fontId="38" numFmtId="0" pivotButton="0" quotePrefix="0" xfId="0">
      <alignment horizontal="center"/>
    </xf>
    <xf applyAlignment="1" borderId="203" fillId="2" fontId="10" numFmtId="0" pivotButton="0" quotePrefix="0" xfId="1">
      <alignment horizontal="right"/>
    </xf>
    <xf applyAlignment="1" borderId="169" fillId="2" fontId="24" numFmtId="1" pivotButton="0" quotePrefix="0" xfId="1">
      <alignment horizontal="center"/>
    </xf>
    <xf applyAlignment="1" applyProtection="1" borderId="203" fillId="0" fontId="40" numFmtId="0" pivotButton="0" quotePrefix="0" xfId="0">
      <alignment horizontal="center"/>
      <protection hidden="0" locked="0"/>
    </xf>
    <xf borderId="203" fillId="2" fontId="0" numFmtId="0" pivotButton="0" quotePrefix="0" xfId="0"/>
    <xf applyAlignment="1" borderId="70" fillId="2" fontId="10" numFmtId="0" pivotButton="0" quotePrefix="0" xfId="1">
      <alignment horizontal="right"/>
    </xf>
    <xf applyAlignment="1" borderId="169" fillId="2" fontId="24" numFmtId="164" pivotButton="0" quotePrefix="0" xfId="1">
      <alignment horizontal="center"/>
    </xf>
    <xf applyAlignment="1" applyProtection="1" borderId="133" fillId="0" fontId="40" numFmtId="20" pivotButton="0" quotePrefix="0" xfId="0">
      <alignment horizontal="center"/>
      <protection hidden="0" locked="0"/>
    </xf>
    <xf applyAlignment="1" borderId="59" fillId="7" fontId="24" numFmtId="188" pivotButton="0" quotePrefix="0" xfId="0">
      <alignment horizontal="center"/>
    </xf>
    <xf applyAlignment="1" borderId="0" fillId="7" fontId="10" numFmtId="0" pivotButton="0" quotePrefix="0" xfId="0">
      <alignment horizontal="center"/>
    </xf>
    <xf applyAlignment="1" borderId="205" fillId="7" fontId="6" numFmtId="46" pivotButton="0" quotePrefix="0" xfId="0">
      <alignment horizontal="center"/>
    </xf>
    <xf borderId="67" fillId="7" fontId="41" numFmtId="188" pivotButton="0" quotePrefix="0" xfId="0"/>
    <xf borderId="30" fillId="7" fontId="10" numFmtId="0" pivotButton="0" quotePrefix="0" xfId="0"/>
    <xf applyAlignment="1" borderId="31" fillId="7" fontId="6" numFmtId="46" pivotButton="0" quotePrefix="0" xfId="0">
      <alignment horizontal="center"/>
    </xf>
    <xf applyAlignment="1" borderId="130" fillId="7" fontId="42" numFmtId="1" pivotButton="0" quotePrefix="0" xfId="0">
      <alignment horizontal="center"/>
    </xf>
    <xf applyAlignment="1" borderId="130" fillId="7" fontId="6" numFmtId="0" pivotButton="0" quotePrefix="0" xfId="0">
      <alignment horizontal="center"/>
    </xf>
    <xf applyAlignment="1" borderId="133" fillId="7" fontId="6" numFmtId="0" pivotButton="0" quotePrefix="0" xfId="0">
      <alignment horizontal="center"/>
    </xf>
    <xf applyAlignment="1" borderId="208" fillId="11" fontId="13" numFmtId="189" pivotButton="0" quotePrefix="0" xfId="0">
      <alignment horizontal="center"/>
    </xf>
    <xf applyAlignment="1" borderId="136" fillId="8" fontId="42" numFmtId="46" pivotButton="0" quotePrefix="0" xfId="0">
      <alignment horizontal="center"/>
    </xf>
    <xf applyAlignment="1" borderId="136" fillId="8" fontId="6" numFmtId="46" pivotButton="0" quotePrefix="0" xfId="0">
      <alignment horizontal="center"/>
    </xf>
    <xf applyAlignment="1" borderId="154" fillId="8" fontId="6" numFmtId="46" pivotButton="0" quotePrefix="0" xfId="0">
      <alignment horizontal="center"/>
    </xf>
    <xf applyAlignment="1" borderId="147" fillId="8" fontId="42" numFmtId="164" pivotButton="0" quotePrefix="0" xfId="0">
      <alignment horizontal="center"/>
    </xf>
    <xf applyAlignment="1" borderId="147" fillId="8" fontId="6" numFmtId="164" pivotButton="0" quotePrefix="0" xfId="0">
      <alignment horizontal="center"/>
    </xf>
    <xf applyAlignment="1" borderId="160" fillId="8" fontId="6" numFmtId="164" pivotButton="0" quotePrefix="0" xfId="0">
      <alignment horizontal="center"/>
    </xf>
    <xf applyAlignment="1" borderId="210" fillId="11" fontId="17" numFmtId="46" pivotButton="0" quotePrefix="0" xfId="0">
      <alignment horizontal="center" vertical="center"/>
    </xf>
    <xf applyAlignment="1" borderId="59" fillId="0" fontId="10" numFmtId="0" pivotButton="0" quotePrefix="0" xfId="0">
      <alignment horizontal="center"/>
    </xf>
    <xf applyAlignment="1" borderId="0" fillId="0" fontId="10" numFmtId="0" pivotButton="0" quotePrefix="0" xfId="0">
      <alignment horizontal="center"/>
    </xf>
    <xf applyAlignment="1" borderId="205" fillId="0" fontId="10" numFmtId="0" pivotButton="0" quotePrefix="0" xfId="0">
      <alignment horizontal="center"/>
    </xf>
    <xf borderId="89" fillId="8" fontId="0" numFmtId="0" pivotButton="0" quotePrefix="0" xfId="0"/>
    <xf applyAlignment="1" borderId="212" fillId="11" fontId="17" numFmtId="46" pivotButton="0" quotePrefix="0" xfId="0">
      <alignment horizontal="center" vertical="center"/>
    </xf>
    <xf borderId="205" fillId="0" fontId="0" numFmtId="0" pivotButton="0" quotePrefix="0" xfId="0"/>
    <xf applyAlignment="1" borderId="169" fillId="2" fontId="0" numFmtId="0" pivotButton="0" quotePrefix="0" xfId="0">
      <alignment horizontal="left"/>
    </xf>
    <xf applyAlignment="1" borderId="169" fillId="2" fontId="0" numFmtId="170" pivotButton="0" quotePrefix="0" xfId="0">
      <alignment horizontal="left"/>
    </xf>
    <xf applyProtection="1" borderId="133" fillId="2" fontId="12" numFmtId="0" pivotButton="0" quotePrefix="0" xfId="0">
      <protection hidden="0" locked="0"/>
    </xf>
    <xf applyAlignment="1" borderId="213" fillId="11" fontId="6" numFmtId="21" pivotButton="0" quotePrefix="0" xfId="0">
      <alignment horizontal="center" vertical="center"/>
    </xf>
    <xf applyAlignment="1" borderId="68" fillId="11" fontId="17" numFmtId="21" pivotButton="0" quotePrefix="0" xfId="0">
      <alignment horizontal="center" vertical="center"/>
    </xf>
    <xf applyAlignment="1" borderId="135" fillId="20" fontId="10" numFmtId="0" pivotButton="0" quotePrefix="0" xfId="0">
      <alignment horizontal="center"/>
    </xf>
    <xf applyAlignment="1" borderId="136" fillId="20" fontId="6" numFmtId="0" pivotButton="0" quotePrefix="0" xfId="0">
      <alignment horizontal="center"/>
    </xf>
    <xf applyAlignment="1" borderId="154" fillId="20" fontId="10" numFmtId="0" pivotButton="0" quotePrefix="0" xfId="0">
      <alignment horizontal="center"/>
    </xf>
    <xf applyAlignment="1" borderId="148" fillId="14" fontId="6" numFmtId="170" pivotButton="0" quotePrefix="0" xfId="0">
      <alignment horizontal="center"/>
    </xf>
    <xf applyAlignment="1" borderId="210" fillId="14" fontId="6" numFmtId="170" pivotButton="0" quotePrefix="0" xfId="0">
      <alignment horizontal="center"/>
    </xf>
    <xf borderId="205" fillId="0" fontId="43" numFmtId="0" pivotButton="0" quotePrefix="0" xfId="0"/>
    <xf applyAlignment="1" applyProtection="1" borderId="146" fillId="0" fontId="7" numFmtId="170" pivotButton="0" quotePrefix="0" xfId="0">
      <alignment horizontal="center"/>
      <protection hidden="0" locked="0"/>
    </xf>
    <xf applyAlignment="1" applyProtection="1" borderId="147" fillId="0" fontId="7" numFmtId="21" pivotButton="0" quotePrefix="0" xfId="0">
      <alignment horizontal="center"/>
      <protection hidden="0" locked="0"/>
    </xf>
    <xf applyAlignment="1" borderId="160" fillId="14" fontId="6" numFmtId="10" pivotButton="0" quotePrefix="0" xfId="0">
      <alignment horizontal="center"/>
    </xf>
    <xf applyAlignment="1" borderId="141" fillId="14" fontId="6" numFmtId="46" pivotButton="0" quotePrefix="0" xfId="0">
      <alignment horizontal="center"/>
    </xf>
    <xf applyAlignment="1" borderId="22" fillId="14" fontId="6" numFmtId="46" pivotButton="0" quotePrefix="0" xfId="0">
      <alignment horizontal="center"/>
    </xf>
    <xf applyAlignment="1" borderId="33" fillId="0" fontId="43" numFmtId="0" pivotButton="0" quotePrefix="0" xfId="0">
      <alignment horizontal="center"/>
    </xf>
    <xf applyAlignment="1" borderId="89" fillId="0" fontId="43" numFmtId="0" pivotButton="0" quotePrefix="0" xfId="0">
      <alignment horizontal="center"/>
    </xf>
    <xf borderId="202" fillId="0" fontId="43" numFmtId="0" pivotButton="0" quotePrefix="0" xfId="0"/>
    <xf applyProtection="1" borderId="161" fillId="21" fontId="44" numFmtId="190" pivotButton="0" quotePrefix="0" xfId="0">
      <protection hidden="0" locked="0"/>
    </xf>
    <xf applyAlignment="1" borderId="147" fillId="14" fontId="6" numFmtId="181" pivotButton="0" quotePrefix="0" xfId="0">
      <alignment horizontal="center"/>
    </xf>
    <xf applyAlignment="1" borderId="177" fillId="14" fontId="6" numFmtId="181" pivotButton="0" quotePrefix="0" xfId="0">
      <alignment horizontal="center"/>
    </xf>
    <xf applyAlignment="1" applyProtection="1" borderId="70" fillId="0" fontId="7" numFmtId="172" pivotButton="0" quotePrefix="0" xfId="0">
      <alignment horizontal="center"/>
      <protection hidden="0" locked="0"/>
    </xf>
    <xf applyAlignment="1" borderId="0" fillId="0" fontId="0" numFmtId="0" pivotButton="0" quotePrefix="0" xfId="0">
      <alignment horizontal="center"/>
    </xf>
    <xf borderId="0" fillId="0" fontId="0" numFmtId="0" pivotButton="0" quotePrefix="0" xfId="0"/>
    <xf applyAlignment="1" borderId="135" fillId="20" fontId="6" numFmtId="0" pivotButton="0" quotePrefix="0" xfId="0">
      <alignment horizontal="center"/>
    </xf>
    <xf applyAlignment="1" borderId="154" fillId="20" fontId="6" numFmtId="0" pivotButton="0" quotePrefix="0" xfId="0">
      <alignment horizontal="center"/>
    </xf>
    <xf applyAlignment="1" borderId="169" fillId="2" fontId="10" numFmtId="21" pivotButton="0" quotePrefix="0" xfId="0">
      <alignment horizontal="center"/>
    </xf>
    <xf applyAlignment="1" borderId="20" fillId="8" fontId="13" numFmtId="191" pivotButton="0" quotePrefix="0" xfId="0">
      <alignment horizontal="left"/>
    </xf>
    <xf applyAlignment="1" borderId="160" fillId="14" fontId="6" numFmtId="192" pivotButton="0" quotePrefix="0" xfId="0">
      <alignment horizontal="center"/>
    </xf>
    <xf applyAlignment="1" borderId="25" fillId="11" fontId="11" numFmtId="0" pivotButton="0" quotePrefix="0" xfId="0">
      <alignment horizontal="center"/>
    </xf>
    <xf applyAlignment="1" borderId="53" fillId="11" fontId="11" numFmtId="0" pivotButton="0" quotePrefix="0" xfId="0">
      <alignment horizontal="center"/>
    </xf>
    <xf applyAlignment="1" borderId="136" fillId="11" fontId="11" numFmtId="0" pivotButton="0" quotePrefix="0" xfId="0">
      <alignment horizontal="center"/>
    </xf>
    <xf applyAlignment="1" borderId="214" fillId="11" fontId="11" numFmtId="0" pivotButton="0" quotePrefix="0" xfId="0">
      <alignment horizontal="center"/>
    </xf>
    <xf applyAlignment="1" borderId="68" fillId="11" fontId="17" numFmtId="21" pivotButton="0" quotePrefix="0" xfId="0">
      <alignment horizontal="center"/>
    </xf>
    <xf applyAlignment="1" borderId="14" fillId="11" fontId="11" numFmtId="0" pivotButton="0" quotePrefix="0" xfId="0">
      <alignment horizontal="center"/>
    </xf>
    <xf applyAlignment="1" borderId="178" fillId="11" fontId="10" numFmtId="1" pivotButton="0" quotePrefix="0" xfId="0">
      <alignment horizontal="center"/>
    </xf>
    <xf applyAlignment="1" borderId="177" fillId="11" fontId="10" numFmtId="1" pivotButton="0" quotePrefix="0" xfId="0">
      <alignment horizontal="center"/>
    </xf>
    <xf applyAlignment="1" applyProtection="1" borderId="40" fillId="0" fontId="7" numFmtId="170" pivotButton="0" quotePrefix="0" xfId="0">
      <alignment horizontal="center"/>
      <protection hidden="0" locked="0"/>
    </xf>
    <xf applyAlignment="1" applyProtection="1" borderId="215" fillId="0" fontId="7" numFmtId="21" pivotButton="0" quotePrefix="0" xfId="0">
      <alignment horizontal="center"/>
      <protection hidden="0" locked="0"/>
    </xf>
    <xf applyAlignment="1" borderId="42" fillId="14" fontId="6" numFmtId="193" pivotButton="0" quotePrefix="0" xfId="0">
      <alignment horizontal="center"/>
    </xf>
    <xf applyAlignment="1" borderId="143" fillId="8" fontId="10" numFmtId="0" pivotButton="0" quotePrefix="0" xfId="0">
      <alignment horizontal="center"/>
    </xf>
    <xf applyAlignment="1" applyProtection="1" borderId="139" fillId="0" fontId="7" numFmtId="194" pivotButton="0" quotePrefix="0" xfId="0">
      <alignment horizontal="center"/>
      <protection hidden="0" locked="0"/>
    </xf>
    <xf applyAlignment="1" borderId="145" fillId="11" fontId="6" numFmtId="181" pivotButton="0" quotePrefix="0" xfId="0">
      <alignment horizontal="center"/>
    </xf>
    <xf applyAlignment="1" applyProtection="1" borderId="146" fillId="0" fontId="7" numFmtId="0" pivotButton="0" quotePrefix="0" xfId="0">
      <alignment horizontal="center"/>
      <protection hidden="0" locked="0"/>
    </xf>
    <xf applyAlignment="1" applyProtection="1" borderId="147" fillId="0" fontId="7" numFmtId="180" pivotButton="0" quotePrefix="0" xfId="0">
      <alignment horizontal="center"/>
      <protection hidden="0" locked="0"/>
    </xf>
    <xf applyAlignment="1" borderId="160" fillId="14" fontId="6" numFmtId="46" pivotButton="0" quotePrefix="0" xfId="0">
      <alignment horizontal="center"/>
    </xf>
    <xf borderId="59" fillId="8" fontId="0" numFmtId="0" pivotButton="0" quotePrefix="0" xfId="0"/>
    <xf applyProtection="1" borderId="0" fillId="8" fontId="45" numFmtId="0" pivotButton="0" quotePrefix="0" xfId="0">
      <protection hidden="0" locked="0"/>
    </xf>
    <xf borderId="205" fillId="8" fontId="0" numFmtId="0" pivotButton="0" quotePrefix="0" xfId="0"/>
    <xf applyAlignment="1" applyProtection="1" borderId="211" fillId="0" fontId="7" numFmtId="0" pivotButton="0" quotePrefix="0" xfId="0">
      <alignment horizontal="center"/>
      <protection hidden="0" locked="0"/>
    </xf>
    <xf applyAlignment="1" applyProtection="1" borderId="215" fillId="0" fontId="7" numFmtId="180" pivotButton="0" quotePrefix="0" xfId="0">
      <alignment horizontal="center"/>
      <protection hidden="0" locked="0"/>
    </xf>
    <xf applyAlignment="1" borderId="42" fillId="14" fontId="6" numFmtId="46" pivotButton="0" quotePrefix="0" xfId="0">
      <alignment horizontal="center"/>
    </xf>
    <xf applyAlignment="1" borderId="25" fillId="0" fontId="10" numFmtId="0" pivotButton="0" quotePrefix="0" xfId="0">
      <alignment horizontal="center"/>
    </xf>
    <xf applyAlignment="1" borderId="26" fillId="0" fontId="10" numFmtId="0" pivotButton="0" quotePrefix="0" xfId="0">
      <alignment horizontal="center"/>
    </xf>
    <xf applyAlignment="1" borderId="191" fillId="0" fontId="10" numFmtId="0" pivotButton="0" quotePrefix="0" xfId="0">
      <alignment horizontal="center"/>
    </xf>
    <xf applyAlignment="1" applyProtection="1" borderId="135" fillId="0" fontId="46" numFmtId="195" pivotButton="0" quotePrefix="0" xfId="0">
      <alignment horizontal="center"/>
      <protection hidden="0" locked="0"/>
    </xf>
    <xf applyAlignment="1" applyProtection="1" borderId="182" fillId="0" fontId="46" numFmtId="196" pivotButton="0" quotePrefix="0" xfId="0">
      <alignment horizontal="center"/>
      <protection hidden="0" locked="0"/>
    </xf>
    <xf applyAlignment="1" applyProtection="1" borderId="140" fillId="0" fontId="46" numFmtId="197" pivotButton="0" quotePrefix="0" xfId="0">
      <alignment horizontal="center"/>
      <protection hidden="0" locked="0"/>
    </xf>
    <xf applyAlignment="1" applyProtection="1" borderId="146" fillId="0" fontId="46" numFmtId="198" pivotButton="0" quotePrefix="0" xfId="0">
      <alignment horizontal="center"/>
      <protection hidden="0" locked="0"/>
    </xf>
    <xf applyAlignment="1" borderId="87" fillId="11" fontId="17" numFmtId="21" pivotButton="0" quotePrefix="0" xfId="0">
      <alignment horizontal="center"/>
    </xf>
    <xf applyAlignment="1" applyProtection="1" borderId="135" fillId="0" fontId="46" numFmtId="199" pivotButton="0" quotePrefix="0" xfId="0">
      <alignment horizontal="center"/>
      <protection hidden="0" locked="0"/>
    </xf>
    <xf applyAlignment="1" applyProtection="1" borderId="140" fillId="0" fontId="46" numFmtId="200" pivotButton="0" quotePrefix="0" xfId="0">
      <alignment horizontal="center"/>
      <protection hidden="0" locked="0"/>
    </xf>
    <xf applyAlignment="1" borderId="59" fillId="0" fontId="0" numFmtId="0" pivotButton="0" quotePrefix="0" xfId="0">
      <alignment horizontal="center"/>
    </xf>
    <xf applyAlignment="1" borderId="0" fillId="0" fontId="0" numFmtId="0" pivotButton="0" quotePrefix="0" xfId="0">
      <alignment horizontal="center"/>
    </xf>
    <xf applyAlignment="1" borderId="205" fillId="0" fontId="0" numFmtId="0" pivotButton="0" quotePrefix="0" xfId="0">
      <alignment horizontal="center"/>
    </xf>
    <xf applyAlignment="1" applyProtection="1" borderId="140" fillId="0" fontId="46" numFmtId="201" pivotButton="0" quotePrefix="0" xfId="0">
      <alignment horizontal="center"/>
      <protection hidden="0" locked="0"/>
    </xf>
    <xf applyAlignment="1" applyProtection="1" borderId="143" fillId="0" fontId="46" numFmtId="202" pivotButton="0" quotePrefix="0" xfId="0">
      <alignment horizontal="center"/>
      <protection hidden="0" locked="0"/>
    </xf>
    <xf applyAlignment="1" borderId="18" fillId="2" fontId="17" numFmtId="0" pivotButton="0" quotePrefix="0" xfId="0">
      <alignment horizontal="center"/>
    </xf>
    <xf applyAlignment="1" borderId="227" fillId="2" fontId="11" numFmtId="0" pivotButton="0" quotePrefix="0" xfId="0">
      <alignment horizontal="center"/>
    </xf>
    <xf applyAlignment="1" borderId="56" fillId="2" fontId="11" numFmtId="0" pivotButton="0" quotePrefix="0" xfId="0">
      <alignment horizontal="center" vertical="center"/>
    </xf>
    <xf applyAlignment="1" borderId="13" fillId="2" fontId="17" numFmtId="172" pivotButton="0" quotePrefix="0" xfId="0">
      <alignment horizontal="center"/>
    </xf>
    <xf applyAlignment="1" borderId="125" fillId="2" fontId="14" numFmtId="0" pivotButton="0" quotePrefix="0" xfId="0">
      <alignment horizontal="center"/>
    </xf>
    <xf applyAlignment="1" borderId="229" fillId="15" fontId="10" numFmtId="203" pivotButton="0" quotePrefix="0" xfId="0">
      <alignment horizontal="center"/>
    </xf>
    <xf applyAlignment="1" borderId="230" fillId="15" fontId="10" numFmtId="204" pivotButton="0" quotePrefix="0" xfId="0">
      <alignment horizontal="center"/>
    </xf>
    <xf applyAlignment="1" borderId="107" fillId="2" fontId="11" numFmtId="0" pivotButton="0" quotePrefix="0" xfId="0">
      <alignment horizontal="center" vertical="center"/>
    </xf>
    <xf applyAlignment="1" borderId="221" fillId="2" fontId="17" numFmtId="172" pivotButton="0" quotePrefix="0" xfId="0">
      <alignment horizontal="center"/>
    </xf>
    <xf applyAlignment="1" borderId="31" fillId="2" fontId="14" numFmtId="0" pivotButton="0" quotePrefix="0" xfId="0">
      <alignment horizontal="center" vertical="top"/>
    </xf>
    <xf applyAlignment="1" applyProtection="1" borderId="182" fillId="0" fontId="46" numFmtId="204" pivotButton="0" quotePrefix="0" xfId="0">
      <alignment horizontal="center"/>
      <protection hidden="0" locked="0"/>
    </xf>
    <xf applyAlignment="1" borderId="232" fillId="15" fontId="10" numFmtId="192" pivotButton="0" quotePrefix="0" xfId="0">
      <alignment horizontal="center"/>
    </xf>
    <xf applyAlignment="1" borderId="233" fillId="15" fontId="10" numFmtId="203" pivotButton="0" quotePrefix="0" xfId="0">
      <alignment horizontal="center"/>
    </xf>
    <xf applyAlignment="1" borderId="64" fillId="2" fontId="11" numFmtId="0" pivotButton="0" quotePrefix="0" xfId="0">
      <alignment horizontal="center" vertical="center"/>
    </xf>
    <xf applyAlignment="1" borderId="19" fillId="2" fontId="48" numFmtId="170" pivotButton="0" quotePrefix="0" xfId="0">
      <alignment horizontal="center" vertical="top"/>
    </xf>
    <xf applyAlignment="1" borderId="20" fillId="2" fontId="48" numFmtId="170" pivotButton="0" quotePrefix="0" xfId="0">
      <alignment horizontal="center" vertical="top"/>
    </xf>
    <xf applyAlignment="1" borderId="234" fillId="2" fontId="49" numFmtId="170" pivotButton="0" quotePrefix="0" xfId="0">
      <alignment horizontal="center" vertical="top"/>
    </xf>
    <xf applyAlignment="1" borderId="21" fillId="2" fontId="17" numFmtId="172" pivotButton="0" quotePrefix="0" xfId="0">
      <alignment horizontal="center"/>
    </xf>
    <xf applyAlignment="1" borderId="21" fillId="8" fontId="11" numFmtId="172" pivotButton="0" quotePrefix="0" xfId="0">
      <alignment horizontal="center"/>
    </xf>
    <xf applyAlignment="1" applyProtection="1" borderId="146" fillId="0" fontId="46" numFmtId="203" pivotButton="0" quotePrefix="0" xfId="0">
      <alignment horizontal="center"/>
      <protection hidden="0" locked="0"/>
    </xf>
    <xf applyAlignment="1" borderId="235" fillId="15" fontId="10" numFmtId="192" pivotButton="0" quotePrefix="0" xfId="0">
      <alignment horizontal="center"/>
    </xf>
    <xf applyAlignment="1" borderId="236" fillId="15" fontId="10" numFmtId="204" pivotButton="0" quotePrefix="0" xfId="0">
      <alignment horizontal="center"/>
    </xf>
    <xf applyAlignment="1" borderId="11" fillId="2" fontId="11" numFmtId="0" pivotButton="0" quotePrefix="0" xfId="0">
      <alignment horizontal="center"/>
    </xf>
    <xf applyAlignment="1" borderId="191" fillId="2" fontId="14" numFmtId="0" pivotButton="0" quotePrefix="0" xfId="0">
      <alignment horizontal="center"/>
    </xf>
    <xf applyAlignment="1" applyProtection="1" borderId="135" fillId="0" fontId="46" numFmtId="200" pivotButton="0" quotePrefix="0" xfId="0">
      <alignment horizontal="center"/>
      <protection hidden="0" locked="0"/>
    </xf>
    <xf applyAlignment="1" borderId="230" fillId="15" fontId="10" numFmtId="205" pivotButton="0" quotePrefix="0" xfId="0">
      <alignment horizontal="center"/>
    </xf>
    <xf applyAlignment="1" borderId="107" fillId="2" fontId="11" numFmtId="0" pivotButton="0" quotePrefix="0" xfId="0">
      <alignment horizontal="center"/>
    </xf>
    <xf applyAlignment="1" applyProtection="1" borderId="140" fillId="0" fontId="46" numFmtId="205" pivotButton="0" quotePrefix="0" xfId="0">
      <alignment horizontal="center"/>
      <protection hidden="0" locked="0"/>
    </xf>
    <xf applyAlignment="1" borderId="232" fillId="15" fontId="10" numFmtId="193" pivotButton="0" quotePrefix="0" xfId="0">
      <alignment horizontal="center"/>
    </xf>
    <xf applyAlignment="1" borderId="52" fillId="2" fontId="11" numFmtId="0" pivotButton="0" quotePrefix="0" xfId="0">
      <alignment horizontal="center"/>
    </xf>
    <xf applyAlignment="1" borderId="235" fillId="15" fontId="10" numFmtId="193" pivotButton="0" quotePrefix="0" xfId="0">
      <alignment horizontal="center"/>
    </xf>
    <xf applyAlignment="1" borderId="236" fillId="15" fontId="10" numFmtId="205" pivotButton="0" quotePrefix="0" xfId="0">
      <alignment horizontal="center"/>
    </xf>
    <xf borderId="89" fillId="0" fontId="0" numFmtId="0" pivotButton="0" quotePrefix="0" xfId="0"/>
    <xf applyAlignment="1" borderId="89" fillId="0" fontId="13" numFmtId="0" pivotButton="0" quotePrefix="0" xfId="0">
      <alignment horizontal="center"/>
    </xf>
    <xf applyAlignment="1" borderId="202" fillId="0" fontId="13" numFmtId="0" pivotButton="0" quotePrefix="0" xfId="0">
      <alignment horizontal="center"/>
    </xf>
    <xf applyAlignment="1" borderId="19" fillId="2" fontId="14" numFmtId="0" pivotButton="0" quotePrefix="0" xfId="0">
      <alignment horizontal="center"/>
    </xf>
    <xf applyAlignment="1" borderId="238" fillId="2" fontId="11" numFmtId="0" pivotButton="0" quotePrefix="0" xfId="0">
      <alignment horizontal="center"/>
    </xf>
    <xf applyAlignment="1" borderId="239" fillId="15" fontId="6" numFmtId="176" pivotButton="0" quotePrefix="0" xfId="0">
      <alignment horizontal="center"/>
    </xf>
    <xf applyAlignment="1" borderId="240" fillId="15" fontId="6" numFmtId="170" pivotButton="0" quotePrefix="0" xfId="0">
      <alignment horizontal="center"/>
    </xf>
    <xf applyAlignment="1" borderId="62" fillId="2" fontId="11" numFmtId="0" pivotButton="0" quotePrefix="0" xfId="0">
      <alignment horizontal="center"/>
    </xf>
    <xf applyAlignment="1" borderId="243" fillId="8" fontId="11" numFmtId="172" pivotButton="0" quotePrefix="0" xfId="0">
      <alignment horizontal="center"/>
    </xf>
    <xf borderId="205" fillId="0" fontId="6" numFmtId="0" pivotButton="0" quotePrefix="0" xfId="0"/>
    <xf applyAlignment="1" borderId="211" fillId="2" fontId="11" numFmtId="0" pivotButton="0" quotePrefix="0" xfId="0">
      <alignment horizontal="center"/>
    </xf>
    <xf applyAlignment="1" borderId="215" fillId="15" fontId="6" numFmtId="176" pivotButton="0" quotePrefix="0" xfId="0">
      <alignment horizontal="center"/>
    </xf>
    <xf applyAlignment="1" borderId="42" fillId="15" fontId="6" numFmtId="170" pivotButton="0" quotePrefix="0" xfId="0">
      <alignment horizontal="center"/>
    </xf>
    <xf applyAlignment="1" borderId="244" fillId="0" fontId="17" numFmtId="0" pivotButton="0" quotePrefix="0" xfId="0">
      <alignment horizontal="center"/>
    </xf>
    <xf applyAlignment="1" borderId="245" fillId="8" fontId="17" numFmtId="170" pivotButton="0" quotePrefix="0" xfId="0">
      <alignment horizontal="center"/>
    </xf>
    <xf applyAlignment="1" borderId="246" fillId="8" fontId="17" numFmtId="170" pivotButton="0" quotePrefix="0" xfId="0">
      <alignment horizontal="center"/>
    </xf>
    <xf applyAlignment="1" borderId="247" fillId="8" fontId="17" numFmtId="170" pivotButton="0" quotePrefix="0" xfId="0">
      <alignment horizontal="center"/>
    </xf>
    <xf applyAlignment="1" borderId="248" fillId="8" fontId="17" numFmtId="170" pivotButton="0" quotePrefix="0" xfId="0">
      <alignment horizontal="center"/>
    </xf>
    <xf applyAlignment="1" borderId="249" fillId="8" fontId="17" numFmtId="170" pivotButton="0" quotePrefix="0" xfId="0">
      <alignment horizontal="center"/>
    </xf>
    <xf applyAlignment="1" borderId="250" fillId="8" fontId="17" numFmtId="170" pivotButton="0" quotePrefix="0" xfId="0">
      <alignment horizontal="center"/>
    </xf>
    <xf borderId="125" fillId="0" fontId="0" numFmtId="0" pivotButton="0" quotePrefix="0" xfId="0"/>
    <xf applyAlignment="1" borderId="89" fillId="0" fontId="0" numFmtId="0" pivotButton="0" quotePrefix="0" xfId="0">
      <alignment horizontal="center"/>
    </xf>
    <xf borderId="89" fillId="0" fontId="4" numFmtId="0" pivotButton="0" quotePrefix="0" xfId="0"/>
    <xf borderId="89" fillId="0" fontId="11" numFmtId="0" pivotButton="0" quotePrefix="0" xfId="0"/>
    <xf borderId="202" fillId="0" fontId="0" numFmtId="0" pivotButton="0" quotePrefix="0" xfId="0"/>
    <xf borderId="0" fillId="0" fontId="24" numFmtId="0" pivotButton="0" quotePrefix="0" xfId="0"/>
    <xf applyAlignment="1" borderId="0" fillId="0" fontId="24" numFmtId="0" pivotButton="0" quotePrefix="0" xfId="0">
      <alignment horizontal="center"/>
    </xf>
    <xf applyAlignment="1" borderId="0" fillId="0" fontId="0" numFmtId="0" pivotButton="0" quotePrefix="0" xfId="0">
      <alignment horizontal="center"/>
    </xf>
    <xf applyAlignment="1" borderId="68" fillId="0" fontId="10" numFmtId="0" pivotButton="0" quotePrefix="0" xfId="0">
      <alignment horizontal="center"/>
    </xf>
    <xf applyAlignment="1" borderId="141" fillId="0" fontId="0" numFmtId="0" pivotButton="0" quotePrefix="0" xfId="0">
      <alignment horizontal="center"/>
    </xf>
    <xf applyAlignment="1" borderId="141" fillId="0" fontId="6" numFmtId="0" pivotButton="0" quotePrefix="0" xfId="0">
      <alignment horizontal="center"/>
    </xf>
    <xf applyAlignment="1" borderId="251" fillId="0" fontId="0" numFmtId="172" pivotButton="0" quotePrefix="0" xfId="0">
      <alignment horizontal="center"/>
    </xf>
    <xf applyAlignment="1" borderId="251" fillId="0" fontId="0" numFmtId="175" pivotButton="0" quotePrefix="0" xfId="0">
      <alignment horizontal="center"/>
    </xf>
    <xf borderId="148" fillId="0" fontId="0" numFmtId="0" pivotButton="0" quotePrefix="0" xfId="0"/>
    <xf applyAlignment="1" borderId="252" fillId="0" fontId="0" numFmtId="172" pivotButton="0" quotePrefix="0" xfId="0">
      <alignment horizontal="center"/>
    </xf>
    <xf applyAlignment="1" borderId="252" fillId="0" fontId="0" numFmtId="175" pivotButton="0" quotePrefix="0" xfId="0">
      <alignment horizontal="center"/>
    </xf>
    <xf borderId="141" fillId="0" fontId="0" numFmtId="0" pivotButton="0" quotePrefix="0" xfId="0"/>
    <xf applyAlignment="1" borderId="253" fillId="0" fontId="0" numFmtId="175" pivotButton="0" quotePrefix="0" xfId="0">
      <alignment horizontal="center"/>
    </xf>
    <xf borderId="107" fillId="0" fontId="4" numFmtId="0" pivotButton="0" quotePrefix="0" xfId="0"/>
    <xf borderId="0" fillId="0" fontId="4" numFmtId="0" pivotButton="0" quotePrefix="0" xfId="0"/>
    <xf borderId="141" fillId="0" fontId="0" numFmtId="0" pivotButton="0" quotePrefix="0" xfId="0"/>
    <xf applyAlignment="1" borderId="109" fillId="0" fontId="0" numFmtId="172" pivotButton="0" quotePrefix="0" xfId="0">
      <alignment horizontal="center"/>
    </xf>
    <xf applyAlignment="1" borderId="109" fillId="0" fontId="0" numFmtId="175" pivotButton="0" quotePrefix="0" xfId="0">
      <alignment horizontal="center"/>
    </xf>
    <xf applyAlignment="1" borderId="26" fillId="0" fontId="6" numFmtId="0" pivotButton="0" quotePrefix="0" xfId="0">
      <alignment horizontal="center"/>
    </xf>
    <xf borderId="26" fillId="0" fontId="6" numFmtId="0" pivotButton="0" quotePrefix="0" xfId="0"/>
    <xf borderId="36" fillId="0" fontId="6" numFmtId="0" pivotButton="0" quotePrefix="0" xfId="0"/>
    <xf borderId="253" fillId="0" fontId="6" numFmtId="0" pivotButton="0" quotePrefix="0" xfId="0"/>
    <xf borderId="60" fillId="0" fontId="6" numFmtId="0" pivotButton="0" quotePrefix="0" xfId="0"/>
    <xf borderId="253" fillId="0" fontId="6" numFmtId="0" pivotButton="0" quotePrefix="0" xfId="0"/>
    <xf borderId="0" fillId="0" fontId="6" numFmtId="0" pivotButton="0" quotePrefix="0" xfId="0"/>
    <xf borderId="253" fillId="0" fontId="17" numFmtId="0" pivotButton="0" quotePrefix="0" xfId="0"/>
    <xf borderId="0" fillId="0" fontId="37" numFmtId="0" pivotButton="0" quotePrefix="0" xfId="2"/>
    <xf applyAlignment="1" borderId="0" fillId="0" fontId="37" numFmtId="0" pivotButton="0" quotePrefix="0" xfId="2">
      <alignment horizontal="left"/>
    </xf>
    <xf borderId="253" fillId="0" fontId="6" numFmtId="0" pivotButton="0" quotePrefix="0" xfId="0"/>
    <xf borderId="29" fillId="0" fontId="6" numFmtId="0" pivotButton="0" quotePrefix="0" xfId="0"/>
    <xf borderId="253" fillId="0" fontId="17" numFmtId="0" pivotButton="0" quotePrefix="0" xfId="0"/>
    <xf borderId="253" fillId="0" fontId="0" numFmtId="0" pivotButton="0" quotePrefix="0" xfId="0"/>
    <xf applyAlignment="1" borderId="30" fillId="0" fontId="6" numFmtId="0" pivotButton="0" quotePrefix="0" xfId="0">
      <alignment horizontal="center"/>
    </xf>
    <xf borderId="30" fillId="0" fontId="6" numFmtId="0" pivotButton="0" quotePrefix="0" xfId="0"/>
    <xf borderId="254" fillId="0" fontId="6" numFmtId="0" pivotButton="0" quotePrefix="0" xfId="0"/>
    <xf applyAlignment="1" borderId="0" fillId="0" fontId="0" numFmtId="0" pivotButton="0" quotePrefix="0" xfId="0">
      <alignment horizontal="right"/>
    </xf>
    <xf borderId="60" fillId="0" fontId="0" numFmtId="0" pivotButton="0" quotePrefix="0" xfId="0"/>
    <xf applyAlignment="1" borderId="0" fillId="0" fontId="6" numFmtId="0" pivotButton="0" quotePrefix="0" xfId="0">
      <alignment horizontal="right"/>
    </xf>
    <xf borderId="253" fillId="0" fontId="24" numFmtId="0" pivotButton="0" quotePrefix="0" xfId="0"/>
    <xf borderId="253" fillId="0" fontId="4" numFmtId="0" pivotButton="0" quotePrefix="0" xfId="0"/>
    <xf applyAlignment="1" borderId="0" fillId="0" fontId="27" numFmtId="0" pivotButton="0" quotePrefix="0" xfId="2">
      <alignment horizontal="left"/>
    </xf>
    <xf applyAlignment="1" borderId="0" fillId="0" fontId="0" numFmtId="0" pivotButton="0" quotePrefix="0" xfId="0">
      <alignment horizontal="center"/>
    </xf>
    <xf borderId="253" fillId="0" fontId="0" numFmtId="0" pivotButton="0" quotePrefix="0" xfId="0"/>
    <xf borderId="217" fillId="0" fontId="0" numFmtId="0" pivotButton="0" quotePrefix="0" xfId="0"/>
    <xf applyAlignment="1" borderId="18" fillId="0" fontId="0" numFmtId="0" pivotButton="0" quotePrefix="0" xfId="0">
      <alignment horizontal="center"/>
    </xf>
    <xf borderId="18" fillId="0" fontId="0" numFmtId="0" pivotButton="0" quotePrefix="0" xfId="0"/>
    <xf borderId="15" fillId="0" fontId="0" numFmtId="0" pivotButton="0" quotePrefix="0" xfId="0"/>
    <xf applyAlignment="1" applyProtection="1" borderId="53" fillId="0" fontId="10" numFmtId="46" pivotButton="0" quotePrefix="0" xfId="0">
      <alignment horizontal="center"/>
      <protection hidden="0" locked="0"/>
    </xf>
    <xf applyAlignment="1" applyProtection="1" borderId="54" fillId="0" fontId="10" numFmtId="46" pivotButton="0" quotePrefix="0" xfId="0">
      <alignment horizontal="center"/>
      <protection hidden="0" locked="0"/>
    </xf>
    <xf applyAlignment="1" applyProtection="1" borderId="144" fillId="0" fontId="10" numFmtId="46" pivotButton="0" quotePrefix="0" xfId="0">
      <alignment horizontal="center"/>
      <protection hidden="0" locked="0"/>
    </xf>
    <xf applyAlignment="1" applyProtection="1" borderId="10" fillId="0" fontId="10" numFmtId="46" pivotButton="0" quotePrefix="0" xfId="0">
      <alignment horizontal="center"/>
      <protection hidden="0" locked="0"/>
    </xf>
    <xf applyAlignment="1" applyProtection="1" borderId="255" fillId="0" fontId="10" numFmtId="46" pivotButton="0" quotePrefix="0" xfId="0">
      <alignment horizontal="center"/>
      <protection hidden="0" locked="0"/>
    </xf>
    <xf applyAlignment="1" applyProtection="1" borderId="256" fillId="0" fontId="10" numFmtId="46" pivotButton="0" quotePrefix="0" xfId="0">
      <alignment horizontal="center"/>
      <protection hidden="0" locked="0"/>
    </xf>
    <xf borderId="29" fillId="0" fontId="0" numFmtId="0" pivotButton="0" quotePrefix="0" xfId="0"/>
    <xf applyAlignment="1" borderId="33" fillId="2" fontId="28" numFmtId="0" pivotButton="0" quotePrefix="0" xfId="1">
      <alignment horizontal="center"/>
    </xf>
    <xf applyAlignment="1" borderId="37" fillId="2" fontId="28" numFmtId="0" pivotButton="0" quotePrefix="0" xfId="1">
      <alignment horizontal="center"/>
    </xf>
    <xf applyAlignment="1" borderId="132" fillId="5" fontId="10" numFmtId="0" pivotButton="0" quotePrefix="0" xfId="0">
      <alignment horizontal="center"/>
    </xf>
    <xf applyAlignment="1" borderId="131" fillId="5" fontId="10" numFmtId="0" pivotButton="0" quotePrefix="0" xfId="0">
      <alignment horizontal="center"/>
    </xf>
    <xf applyAlignment="1" borderId="74" fillId="5" fontId="10" numFmtId="0" pivotButton="0" quotePrefix="0" xfId="0">
      <alignment horizontal="center"/>
    </xf>
    <xf applyAlignment="1" borderId="252" fillId="5" fontId="10" numFmtId="0" pivotButton="0" quotePrefix="0" xfId="0">
      <alignment horizontal="center"/>
    </xf>
    <xf applyAlignment="1" borderId="109" fillId="5" fontId="10" numFmtId="0" pivotButton="0" quotePrefix="0" xfId="0">
      <alignment horizontal="center"/>
    </xf>
    <xf applyAlignment="1" borderId="252" fillId="5" fontId="10" numFmtId="0" pivotButton="0" quotePrefix="0" xfId="1">
      <alignment horizontal="center"/>
    </xf>
    <xf applyAlignment="1" borderId="252" fillId="5" fontId="10" numFmtId="46" pivotButton="0" quotePrefix="0" xfId="0">
      <alignment horizontal="center"/>
    </xf>
    <xf applyAlignment="1" borderId="109" fillId="5" fontId="10" numFmtId="0" pivotButton="0" quotePrefix="0" xfId="1">
      <alignment horizontal="center"/>
    </xf>
    <xf applyAlignment="1" borderId="21" fillId="23" fontId="10" numFmtId="46" pivotButton="0" quotePrefix="0" xfId="0">
      <alignment horizontal="center" vertical="center"/>
    </xf>
    <xf applyAlignment="1" borderId="205" fillId="23" fontId="10" numFmtId="46" pivotButton="0" quotePrefix="0" xfId="0">
      <alignment horizontal="center" vertical="center"/>
    </xf>
    <xf applyAlignment="1" borderId="153" fillId="23" fontId="10" numFmtId="46" pivotButton="0" quotePrefix="0" xfId="0">
      <alignment horizontal="center" vertical="center"/>
    </xf>
    <xf applyProtection="1" borderId="81" fillId="22" fontId="10" numFmtId="1" pivotButton="0" quotePrefix="0" xfId="0">
      <protection hidden="0" locked="0"/>
    </xf>
    <xf borderId="82" fillId="22" fontId="10" numFmtId="20" pivotButton="0" quotePrefix="0" xfId="0"/>
    <xf applyAlignment="1" applyProtection="1" borderId="83" fillId="22" fontId="19" numFmtId="0" pivotButton="0" quotePrefix="0" xfId="0">
      <alignment vertical="center"/>
      <protection hidden="0" locked="0"/>
    </xf>
    <xf applyAlignment="1" applyProtection="1" borderId="84" fillId="22" fontId="19" numFmtId="0" pivotButton="0" quotePrefix="0" xfId="0">
      <alignment vertical="center"/>
      <protection hidden="0" locked="0"/>
    </xf>
    <xf applyAlignment="1" borderId="172" fillId="0" fontId="58" numFmtId="0" pivotButton="0" quotePrefix="0" xfId="0">
      <alignment horizontal="center"/>
    </xf>
    <xf applyAlignment="1" borderId="172" fillId="0" fontId="58" numFmtId="169" pivotButton="0" quotePrefix="0" xfId="0">
      <alignment horizontal="center"/>
    </xf>
    <xf applyAlignment="1" borderId="172" fillId="0" fontId="58" numFmtId="169" pivotButton="0" quotePrefix="0" xfId="0">
      <alignment horizontal="center"/>
    </xf>
    <xf borderId="253" fillId="0" fontId="36" numFmtId="0" pivotButton="0" quotePrefix="0" xfId="0"/>
    <xf borderId="253" fillId="0" fontId="59" numFmtId="0" pivotButton="0" quotePrefix="0" xfId="0"/>
    <xf applyAlignment="1" borderId="0" fillId="0" fontId="4" numFmtId="14" pivotButton="0" quotePrefix="0" xfId="0">
      <alignment horizontal="left"/>
    </xf>
    <xf borderId="29" fillId="0" fontId="6" numFmtId="0" pivotButton="0" quotePrefix="0" xfId="0"/>
    <xf borderId="253" fillId="0" fontId="27" numFmtId="0" pivotButton="0" quotePrefix="0" xfId="1"/>
    <xf borderId="0" fillId="0" fontId="0" numFmtId="0" pivotButton="0" quotePrefix="0" xfId="0"/>
    <xf borderId="253" fillId="0" fontId="0" numFmtId="0" pivotButton="0" quotePrefix="0" xfId="0"/>
    <xf applyAlignment="1" borderId="0" fillId="0" fontId="27" numFmtId="0" pivotButton="0" quotePrefix="0" xfId="1">
      <alignment horizontal="center"/>
    </xf>
    <xf borderId="217" fillId="0" fontId="6" numFmtId="0" pivotButton="0" quotePrefix="0" xfId="0"/>
    <xf applyAlignment="1" borderId="18" fillId="0" fontId="6" numFmtId="0" pivotButton="0" quotePrefix="0" xfId="0">
      <alignment horizontal="center"/>
    </xf>
    <xf borderId="18" fillId="0" fontId="6" numFmtId="0" pivotButton="0" quotePrefix="0" xfId="0"/>
    <xf borderId="15" fillId="0" fontId="6" numFmtId="0" pivotButton="0" quotePrefix="0" xfId="0"/>
    <xf borderId="27" fillId="0" fontId="59" numFmtId="0" pivotButton="0" quotePrefix="0" xfId="0"/>
    <xf applyAlignment="1" applyProtection="1" borderId="182" fillId="0" fontId="0" numFmtId="21" pivotButton="0" quotePrefix="0" xfId="0">
      <alignment horizontal="center"/>
      <protection hidden="0" locked="0"/>
    </xf>
    <xf applyAlignment="1" applyProtection="1" borderId="148" fillId="0" fontId="0" numFmtId="170" pivotButton="0" quotePrefix="0" xfId="0">
      <alignment horizontal="center"/>
      <protection hidden="0" locked="0"/>
    </xf>
    <xf applyAlignment="1" applyProtection="1" borderId="148" fillId="0" fontId="0" numFmtId="20" pivotButton="0" quotePrefix="0" xfId="0">
      <alignment horizontal="center"/>
      <protection hidden="0" locked="0"/>
    </xf>
    <xf applyAlignment="1" applyProtection="1" borderId="256" fillId="0" fontId="0" numFmtId="0" pivotButton="0" quotePrefix="0" xfId="0">
      <alignment horizontal="center"/>
      <protection hidden="0" locked="0"/>
    </xf>
    <xf applyAlignment="1" borderId="255" fillId="18" fontId="4" numFmtId="175" pivotButton="0" quotePrefix="0" xfId="0">
      <alignment horizontal="center"/>
    </xf>
    <xf applyAlignment="1" borderId="210" fillId="18" fontId="4" numFmtId="170" pivotButton="0" quotePrefix="0" xfId="0">
      <alignment horizontal="center"/>
    </xf>
    <xf applyAlignment="1" applyProtection="1" borderId="68" fillId="3" fontId="8" numFmtId="0" pivotButton="0" quotePrefix="0" xfId="0">
      <alignment horizontal="center"/>
      <protection hidden="0" locked="0"/>
    </xf>
    <xf applyAlignment="1" applyProtection="1" borderId="226" fillId="3" fontId="8" numFmtId="0" pivotButton="0" quotePrefix="0" xfId="0">
      <alignment horizontal="center"/>
      <protection hidden="0" locked="0"/>
    </xf>
    <xf applyAlignment="1" applyProtection="1" borderId="56" fillId="0" fontId="46" numFmtId="170" pivotButton="0" quotePrefix="0" xfId="0">
      <alignment horizontal="center"/>
      <protection hidden="0" locked="0"/>
    </xf>
    <xf applyAlignment="1" applyProtection="1" borderId="228" fillId="0" fontId="46" numFmtId="170" pivotButton="0" quotePrefix="0" xfId="0">
      <alignment horizontal="center"/>
      <protection hidden="0" locked="0"/>
    </xf>
    <xf applyAlignment="1" applyProtection="1" borderId="64" fillId="0" fontId="46" numFmtId="170" pivotButton="0" quotePrefix="0" xfId="0">
      <alignment horizontal="center"/>
      <protection hidden="0" locked="0"/>
    </xf>
    <xf applyAlignment="1" applyProtection="1" borderId="107" fillId="0" fontId="46" numFmtId="170" pivotButton="0" quotePrefix="0" xfId="0">
      <alignment horizontal="center"/>
      <protection hidden="0" locked="0"/>
    </xf>
    <xf applyAlignment="1" applyProtection="1" borderId="231" fillId="0" fontId="46" numFmtId="170" pivotButton="0" quotePrefix="0" xfId="0">
      <alignment horizontal="center"/>
      <protection hidden="0" locked="0"/>
    </xf>
    <xf applyAlignment="1" applyProtection="1" borderId="237" fillId="0" fontId="46" numFmtId="170" pivotButton="0" quotePrefix="0" xfId="0">
      <alignment horizontal="center"/>
      <protection hidden="0" locked="0"/>
    </xf>
    <xf applyAlignment="1" applyProtection="1" borderId="241" fillId="0" fontId="46" numFmtId="170" pivotButton="0" quotePrefix="0" xfId="0">
      <alignment horizontal="center"/>
      <protection hidden="0" locked="0"/>
    </xf>
    <xf applyAlignment="1" applyProtection="1" borderId="242" fillId="0" fontId="46" numFmtId="170" pivotButton="0" quotePrefix="0" xfId="0">
      <alignment horizontal="center"/>
      <protection hidden="0" locked="0"/>
    </xf>
    <xf borderId="60" fillId="0" fontId="0" numFmtId="0" pivotButton="0" quotePrefix="0" xfId="0"/>
    <xf applyAlignment="1" applyProtection="1" borderId="35" fillId="0" fontId="7" numFmtId="0" pivotButton="0" quotePrefix="0" xfId="0">
      <alignment horizontal="center"/>
      <protection hidden="0" locked="0"/>
    </xf>
    <xf applyAlignment="1" borderId="147" fillId="11" fontId="6" numFmtId="1" pivotButton="0" quotePrefix="0" xfId="0">
      <alignment horizontal="center"/>
    </xf>
    <xf applyAlignment="1" borderId="130" fillId="2" fontId="6" numFmtId="0" pivotButton="0" quotePrefix="0" xfId="0">
      <alignment horizontal="center"/>
    </xf>
    <xf applyAlignment="1" borderId="45" fillId="2" fontId="6" numFmtId="0" pivotButton="0" quotePrefix="0" xfId="0">
      <alignment horizontal="center"/>
    </xf>
    <xf borderId="18" fillId="0" fontId="0" numFmtId="0" pivotButton="0" quotePrefix="0" xfId="0"/>
    <xf borderId="15" fillId="0" fontId="0" numFmtId="0" pivotButton="0" quotePrefix="0" xfId="0"/>
    <xf applyAlignment="1" borderId="27" fillId="4" fontId="16" numFmtId="164" pivotButton="0" quotePrefix="0" xfId="0">
      <alignment horizontal="right" vertical="top"/>
    </xf>
    <xf applyAlignment="1" borderId="172" fillId="0" fontId="61" numFmtId="0" pivotButton="0" quotePrefix="0" xfId="0">
      <alignment horizontal="center"/>
    </xf>
    <xf applyAlignment="1" borderId="74" fillId="0" fontId="4" numFmtId="0" pivotButton="0" quotePrefix="0" xfId="0">
      <alignment horizontal="center"/>
    </xf>
    <xf applyAlignment="1" borderId="109" fillId="0" fontId="10" numFmtId="0" pivotButton="0" quotePrefix="0" xfId="0">
      <alignment horizontal="center"/>
    </xf>
    <xf applyAlignment="1" borderId="109" fillId="0" fontId="4" numFmtId="0" pivotButton="0" quotePrefix="0" xfId="0">
      <alignment horizontal="center"/>
    </xf>
    <xf applyAlignment="1" borderId="53" fillId="0" fontId="10" numFmtId="0" pivotButton="0" quotePrefix="0" xfId="0">
      <alignment horizontal="center"/>
    </xf>
    <xf applyAlignment="1" borderId="137" fillId="0" fontId="10" numFmtId="0" pivotButton="0" quotePrefix="0" xfId="0">
      <alignment horizontal="center"/>
    </xf>
    <xf applyAlignment="1" borderId="178" fillId="0" fontId="10" numFmtId="0" pivotButton="0" quotePrefix="0" xfId="0">
      <alignment horizontal="center"/>
    </xf>
    <xf borderId="56" fillId="0" fontId="4" numFmtId="0" pivotButton="0" quotePrefix="0" xfId="0"/>
    <xf borderId="107" fillId="0" fontId="4" numFmtId="0" pivotButton="0" quotePrefix="0" xfId="0"/>
    <xf applyAlignment="1" borderId="215" fillId="13" fontId="6" numFmtId="164" pivotButton="0" quotePrefix="0" xfId="0">
      <alignment horizontal="center"/>
    </xf>
    <xf applyAlignment="1" borderId="42" fillId="13" fontId="6" numFmtId="164" pivotButton="0" quotePrefix="0" xfId="0">
      <alignment horizontal="center"/>
    </xf>
    <xf applyAlignment="1" borderId="239" fillId="16" fontId="6" numFmtId="164" pivotButton="0" quotePrefix="0" xfId="0">
      <alignment horizontal="center"/>
    </xf>
    <xf applyAlignment="1" borderId="240" fillId="16" fontId="6" numFmtId="164" pivotButton="0" quotePrefix="0" xfId="0">
      <alignment horizontal="center"/>
    </xf>
    <xf applyAlignment="1" borderId="70" fillId="0" fontId="28" numFmtId="0" pivotButton="0" quotePrefix="0" xfId="1">
      <alignment vertical="center"/>
    </xf>
    <xf applyAlignment="1" borderId="186" fillId="0" fontId="28" numFmtId="0" pivotButton="0" quotePrefix="0" xfId="1">
      <alignment vertical="center"/>
    </xf>
    <xf borderId="253" fillId="0" fontId="62" numFmtId="0" pivotButton="0" quotePrefix="0" xfId="0"/>
    <xf borderId="26" fillId="0" fontId="0" numFmtId="0" pivotButton="0" quotePrefix="0" xfId="0"/>
    <xf applyAlignment="1" applyProtection="1" borderId="82" fillId="2" fontId="60" numFmtId="0" pivotButton="0" quotePrefix="0" xfId="0">
      <alignment horizontal="center" vertical="top"/>
      <protection hidden="1" locked="0"/>
    </xf>
    <xf applyAlignment="1" applyProtection="1" borderId="70" fillId="0" fontId="7" numFmtId="2" pivotButton="0" quotePrefix="0" xfId="0">
      <alignment horizontal="center"/>
      <protection hidden="0" locked="0"/>
    </xf>
    <xf borderId="253" fillId="0" fontId="0" numFmtId="0" pivotButton="0" quotePrefix="0" xfId="0"/>
    <xf borderId="0" fillId="0" fontId="0" numFmtId="0" pivotButton="0" quotePrefix="0" xfId="0"/>
    <xf applyAlignment="1" borderId="70" fillId="2" fontId="10" numFmtId="0" pivotButton="0" quotePrefix="0" xfId="0">
      <alignment horizontal="center"/>
    </xf>
    <xf applyAlignment="1" borderId="27" fillId="0" fontId="4" numFmtId="0" pivotButton="0" quotePrefix="0" xfId="0">
      <alignment horizontal="center"/>
    </xf>
    <xf applyAlignment="1" borderId="132" fillId="0" fontId="4" numFmtId="0" pivotButton="0" quotePrefix="0" xfId="0">
      <alignment horizontal="center"/>
    </xf>
    <xf applyAlignment="1" borderId="130" fillId="0" fontId="4" numFmtId="0" pivotButton="0" quotePrefix="0" xfId="0">
      <alignment horizontal="center"/>
    </xf>
    <xf applyAlignment="1" borderId="131" fillId="0" fontId="4" numFmtId="0" pivotButton="0" quotePrefix="0" xfId="0">
      <alignment horizontal="center"/>
    </xf>
    <xf applyAlignment="1" borderId="54" fillId="0" fontId="4" numFmtId="10" pivotButton="0" quotePrefix="0" xfId="0">
      <alignment horizontal="center"/>
    </xf>
    <xf applyAlignment="1" borderId="53" fillId="0" fontId="0" numFmtId="10" pivotButton="0" quotePrefix="0" xfId="0">
      <alignment horizontal="center"/>
    </xf>
    <xf applyAlignment="1" borderId="54" fillId="0" fontId="0" numFmtId="10" pivotButton="0" quotePrefix="0" xfId="0">
      <alignment horizontal="center"/>
    </xf>
    <xf applyAlignment="1" borderId="53" fillId="0" fontId="0" numFmtId="2" pivotButton="0" quotePrefix="0" xfId="0">
      <alignment horizontal="center"/>
    </xf>
    <xf applyAlignment="1" borderId="54" fillId="0" fontId="0" numFmtId="2" pivotButton="0" quotePrefix="0" xfId="0">
      <alignment horizontal="center"/>
    </xf>
    <xf applyAlignment="1" borderId="8" fillId="0" fontId="0" numFmtId="10" pivotButton="0" quotePrefix="0" xfId="0">
      <alignment horizontal="center"/>
    </xf>
    <xf applyAlignment="1" borderId="137" fillId="0" fontId="0" numFmtId="10" pivotButton="0" quotePrefix="0" xfId="0">
      <alignment horizontal="center"/>
    </xf>
    <xf applyAlignment="1" borderId="255" fillId="0" fontId="0" numFmtId="2" pivotButton="0" quotePrefix="0" xfId="0">
      <alignment horizontal="center"/>
    </xf>
    <xf applyAlignment="1" borderId="256" fillId="0" fontId="0" numFmtId="2" pivotButton="0" quotePrefix="0" xfId="0">
      <alignment horizontal="center"/>
    </xf>
    <xf applyAlignment="1" borderId="137" fillId="0" fontId="0" numFmtId="2" pivotButton="0" quotePrefix="0" xfId="0">
      <alignment horizontal="center"/>
    </xf>
    <xf applyAlignment="1" borderId="8" fillId="0" fontId="0" numFmtId="2" pivotButton="0" quotePrefix="0" xfId="0">
      <alignment horizontal="center"/>
    </xf>
    <xf applyAlignment="1" borderId="17" fillId="0" fontId="0" numFmtId="10" pivotButton="0" quotePrefix="0" xfId="0">
      <alignment horizontal="center"/>
    </xf>
    <xf applyAlignment="1" borderId="178" fillId="0" fontId="0" numFmtId="10" pivotButton="0" quotePrefix="0" xfId="0">
      <alignment horizontal="center"/>
    </xf>
    <xf applyAlignment="1" borderId="178" fillId="0" fontId="0" numFmtId="2" pivotButton="0" quotePrefix="0" xfId="0">
      <alignment horizontal="center"/>
    </xf>
    <xf applyAlignment="1" borderId="17" fillId="0" fontId="0" numFmtId="2" pivotButton="0" quotePrefix="0" xfId="0">
      <alignment horizontal="center"/>
    </xf>
    <xf applyAlignment="1" borderId="186" fillId="2" fontId="10" numFmtId="0" pivotButton="0" quotePrefix="0" xfId="0">
      <alignment horizontal="center"/>
    </xf>
    <xf applyAlignment="1" borderId="23" fillId="9" fontId="10" numFmtId="10" pivotButton="0" quotePrefix="0" xfId="0">
      <alignment horizontal="center"/>
    </xf>
    <xf applyAlignment="1" borderId="23" fillId="9" fontId="10" numFmtId="21" pivotButton="0" quotePrefix="0" xfId="0">
      <alignment horizontal="center"/>
    </xf>
    <xf applyAlignment="1" borderId="225" fillId="9" fontId="10" numFmtId="21" pivotButton="0" quotePrefix="0" xfId="0">
      <alignment horizontal="center"/>
    </xf>
    <xf borderId="81" fillId="2" fontId="0" numFmtId="0" pivotButton="0" quotePrefix="0" xfId="0"/>
    <xf borderId="82" fillId="2" fontId="0" numFmtId="0" pivotButton="0" quotePrefix="0" xfId="0"/>
    <xf applyProtection="1" borderId="161" fillId="2" fontId="18" numFmtId="0" pivotButton="0" quotePrefix="0" xfId="0">
      <protection hidden="0" locked="0"/>
    </xf>
    <xf applyAlignment="1" borderId="25" fillId="0" fontId="13" numFmtId="0" pivotButton="0" quotePrefix="0" xfId="0">
      <alignment vertical="center"/>
    </xf>
    <xf applyAlignment="1" borderId="26" fillId="0" fontId="13" numFmtId="0" pivotButton="0" quotePrefix="0" xfId="0">
      <alignment vertical="center"/>
    </xf>
    <xf applyAlignment="1" borderId="191" fillId="0" fontId="13" numFmtId="0" pivotButton="0" quotePrefix="0" xfId="0">
      <alignment horizontal="right" vertical="center"/>
    </xf>
    <xf applyAlignment="1" borderId="5" fillId="3" fontId="57" numFmtId="14" pivotButton="0" quotePrefix="0" xfId="0">
      <alignment horizontal="center" vertical="center"/>
    </xf>
    <xf applyAlignment="1" borderId="6" fillId="3" fontId="57" numFmtId="14" pivotButton="0" quotePrefix="0" xfId="0">
      <alignment horizontal="center" vertical="center"/>
    </xf>
    <xf applyAlignment="1" applyProtection="1" borderId="22" fillId="0" fontId="7" numFmtId="170" pivotButton="0" quotePrefix="0" xfId="0">
      <alignment horizontal="center"/>
      <protection hidden="0" locked="0"/>
    </xf>
    <xf applyAlignment="1" applyProtection="1" borderId="211" fillId="0" fontId="7" numFmtId="170" pivotButton="0" quotePrefix="0" xfId="0">
      <alignment horizontal="center"/>
      <protection hidden="0" locked="0"/>
    </xf>
    <xf applyProtection="1" borderId="174" fillId="9" fontId="66" numFmtId="0" pivotButton="0" quotePrefix="0" xfId="0">
      <protection hidden="0" locked="0"/>
    </xf>
    <xf applyAlignment="1" borderId="7" fillId="8" fontId="10" numFmtId="0" pivotButton="0" quotePrefix="0" xfId="0">
      <alignment horizontal="center"/>
    </xf>
    <xf applyAlignment="1" borderId="203" fillId="2" fontId="6" numFmtId="0" pivotButton="0" quotePrefix="0" xfId="0">
      <alignment horizontal="right"/>
    </xf>
    <xf applyAlignment="1" borderId="203" fillId="2" fontId="10" numFmtId="21" pivotButton="0" quotePrefix="0" xfId="0">
      <alignment horizontal="center"/>
    </xf>
    <xf applyAlignment="1" borderId="70" fillId="2" fontId="10" numFmtId="21" pivotButton="0" quotePrefix="0" xfId="0">
      <alignment horizontal="center"/>
    </xf>
    <xf applyAlignment="1" borderId="130" fillId="2" fontId="11" numFmtId="0" pivotButton="0" quotePrefix="0" xfId="0">
      <alignment horizontal="center"/>
    </xf>
    <xf applyAlignment="1" borderId="261" fillId="14" fontId="24" numFmtId="170" pivotButton="0" quotePrefix="0" xfId="0">
      <alignment horizontal="center"/>
    </xf>
    <xf applyAlignment="1" borderId="262" fillId="14" fontId="17" numFmtId="46" pivotButton="0" quotePrefix="0" xfId="0">
      <alignment horizontal="center"/>
    </xf>
    <xf applyAlignment="1" borderId="263" fillId="14" fontId="24" numFmtId="181" pivotButton="0" quotePrefix="0" xfId="0">
      <alignment horizontal="center"/>
    </xf>
    <xf applyAlignment="1" borderId="264" fillId="14" fontId="6" numFmtId="170" pivotButton="0" quotePrefix="0" xfId="0">
      <alignment horizontal="center"/>
    </xf>
    <xf applyAlignment="1" borderId="209" fillId="14" fontId="6" numFmtId="170" pivotButton="0" quotePrefix="0" xfId="0">
      <alignment horizontal="center"/>
    </xf>
    <xf applyAlignment="1" borderId="24" fillId="14" fontId="6" numFmtId="46" pivotButton="0" quotePrefix="0" xfId="0">
      <alignment horizontal="center"/>
    </xf>
    <xf applyAlignment="1" borderId="180" fillId="14" fontId="6" numFmtId="181" pivotButton="0" quotePrefix="0" xfId="0">
      <alignment horizontal="center"/>
    </xf>
    <xf borderId="36" fillId="2" fontId="17" numFmtId="0" pivotButton="0" quotePrefix="0" xfId="0"/>
    <xf borderId="70" fillId="0" fontId="0" numFmtId="0" pivotButton="0" quotePrefix="0" xfId="0"/>
    <xf applyAlignment="1" borderId="59" fillId="8" fontId="13" numFmtId="206" pivotButton="0" quotePrefix="0" xfId="0">
      <alignment horizontal="center" vertical="center"/>
    </xf>
    <xf applyAlignment="1" borderId="145" fillId="11" fontId="13" numFmtId="207" pivotButton="0" quotePrefix="0" xfId="0">
      <alignment horizontal="center" vertical="center"/>
    </xf>
    <xf applyAlignment="1" borderId="0" fillId="0" fontId="13" numFmtId="0" pivotButton="0" quotePrefix="0" xfId="0">
      <alignment vertical="top"/>
    </xf>
    <xf applyAlignment="1" borderId="0" fillId="2" fontId="39" numFmtId="0" pivotButton="0" quotePrefix="0" xfId="0">
      <alignment horizontal="center"/>
    </xf>
    <xf applyAlignment="1" borderId="208" fillId="11" fontId="13" numFmtId="207" pivotButton="0" quotePrefix="0" xfId="0">
      <alignment horizontal="center" vertical="center"/>
    </xf>
    <xf applyAlignment="1" borderId="171" fillId="2" fontId="11" numFmtId="0" pivotButton="0" quotePrefix="0" xfId="0">
      <alignment horizontal="center"/>
    </xf>
    <xf borderId="59" fillId="2" fontId="6" numFmtId="0" pivotButton="0" quotePrefix="0" xfId="0"/>
    <xf borderId="0" fillId="2" fontId="6" numFmtId="0" pivotButton="0" quotePrefix="0" xfId="0"/>
    <xf applyAlignment="1" borderId="30" fillId="9" fontId="10" numFmtId="10" pivotButton="0" quotePrefix="0" xfId="0">
      <alignment horizontal="center"/>
    </xf>
    <xf applyAlignment="1" borderId="30" fillId="9" fontId="10" numFmtId="21" pivotButton="0" quotePrefix="0" xfId="0">
      <alignment horizontal="center"/>
    </xf>
    <xf applyAlignment="1" borderId="268" fillId="9" fontId="10" numFmtId="10" pivotButton="0" quotePrefix="0" xfId="0">
      <alignment horizontal="center"/>
    </xf>
    <xf applyAlignment="1" borderId="273" fillId="9" fontId="10" numFmtId="21" pivotButton="0" quotePrefix="0" xfId="0">
      <alignment horizontal="center"/>
    </xf>
    <xf applyAlignment="1" applyProtection="1" borderId="274" fillId="0" fontId="7" numFmtId="21" pivotButton="0" quotePrefix="0" xfId="0">
      <alignment horizontal="center"/>
      <protection hidden="0" locked="0"/>
    </xf>
    <xf applyAlignment="1" applyProtection="1" borderId="17" fillId="0" fontId="7" numFmtId="21" pivotButton="0" quotePrefix="0" xfId="0">
      <alignment horizontal="center"/>
      <protection hidden="0" locked="0"/>
    </xf>
    <xf applyAlignment="1" borderId="70" fillId="0" fontId="38" numFmtId="2" pivotButton="0" quotePrefix="0" xfId="0">
      <alignment horizontal="center"/>
    </xf>
    <xf applyAlignment="1" borderId="0" fillId="0" fontId="0" numFmtId="2" pivotButton="0" quotePrefix="0" xfId="0">
      <alignment horizontal="center"/>
    </xf>
    <xf applyAlignment="1" borderId="130" fillId="20" fontId="6" numFmtId="170" pivotButton="0" quotePrefix="0" xfId="0">
      <alignment horizontal="center"/>
    </xf>
    <xf applyAlignment="1" borderId="203" fillId="20" fontId="6" numFmtId="170" pivotButton="0" quotePrefix="0" xfId="0">
      <alignment horizontal="center"/>
    </xf>
    <xf applyAlignment="1" borderId="169" fillId="20" fontId="6" numFmtId="170" pivotButton="0" quotePrefix="0" xfId="0">
      <alignment horizontal="center"/>
    </xf>
    <xf applyAlignment="1" borderId="0" fillId="0" fontId="0" numFmtId="170" pivotButton="0" quotePrefix="0" xfId="0">
      <alignment horizontal="center"/>
    </xf>
    <xf applyAlignment="1" borderId="260" fillId="20" fontId="6" numFmtId="170" pivotButton="0" quotePrefix="0" xfId="0">
      <alignment horizontal="center"/>
    </xf>
    <xf applyAlignment="1" applyProtection="1" borderId="60" fillId="2" fontId="18" numFmtId="0" pivotButton="0" quotePrefix="0" xfId="0">
      <alignment horizontal="center"/>
      <protection hidden="1" locked="1"/>
    </xf>
    <xf applyAlignment="1" borderId="33" fillId="0" fontId="13" numFmtId="0" pivotButton="0" quotePrefix="0" xfId="0">
      <alignment vertical="top"/>
    </xf>
    <xf applyAlignment="1" borderId="4" fillId="3" fontId="9" numFmtId="0" pivotButton="0" quotePrefix="0" xfId="0">
      <alignment horizontal="center"/>
    </xf>
    <xf applyAlignment="1" borderId="0" fillId="3" fontId="9" numFmtId="0" pivotButton="0" quotePrefix="0" xfId="0">
      <alignment horizontal="center"/>
    </xf>
    <xf applyAlignment="1" borderId="11" fillId="23" fontId="11" numFmtId="0" pivotButton="0" quotePrefix="0" xfId="0">
      <alignment horizontal="center"/>
    </xf>
    <xf applyAlignment="1" borderId="12" fillId="23" fontId="11" numFmtId="0" pivotButton="0" quotePrefix="0" xfId="0">
      <alignment horizontal="center"/>
    </xf>
    <xf applyAlignment="1" borderId="13" fillId="23" fontId="11" numFmtId="0" pivotButton="0" quotePrefix="0" xfId="0">
      <alignment horizontal="center"/>
    </xf>
    <xf applyAlignment="1" borderId="0" fillId="3" fontId="6" numFmtId="0" pivotButton="0" quotePrefix="0" xfId="0">
      <alignment horizontal="center"/>
    </xf>
    <xf applyAlignment="1" borderId="19" fillId="23" fontId="10" numFmtId="0" pivotButton="0" quotePrefix="0" xfId="0">
      <alignment horizontal="center" vertical="center"/>
    </xf>
    <xf applyAlignment="1" borderId="20" fillId="23" fontId="10" numFmtId="0" pivotButton="0" quotePrefix="0" xfId="0">
      <alignment horizontal="center" vertical="center"/>
    </xf>
    <xf applyAlignment="1" borderId="22" fillId="0" fontId="4" numFmtId="0" pivotButton="0" quotePrefix="0" xfId="0">
      <alignment horizontal="center"/>
    </xf>
    <xf applyAlignment="1" borderId="23" fillId="0" fontId="0" numFmtId="0" pivotButton="0" quotePrefix="0" xfId="0">
      <alignment horizontal="center"/>
    </xf>
    <xf applyAlignment="1" borderId="24" fillId="0" fontId="0" numFmtId="0" pivotButton="0" quotePrefix="0" xfId="0">
      <alignment horizontal="center"/>
    </xf>
    <xf applyAlignment="1" borderId="25" fillId="0" fontId="13" numFmtId="0" pivotButton="0" quotePrefix="0" xfId="0">
      <alignment horizontal="center" vertical="top"/>
    </xf>
    <xf applyAlignment="1" borderId="26" fillId="0" fontId="13" numFmtId="0" pivotButton="0" quotePrefix="0" xfId="0">
      <alignment horizontal="center" vertical="top"/>
    </xf>
    <xf applyAlignment="1" borderId="69" fillId="24" fontId="10" numFmtId="0" pivotButton="0" quotePrefix="0" xfId="0">
      <alignment horizontal="center"/>
    </xf>
    <xf applyAlignment="1" borderId="173" fillId="24" fontId="10" numFmtId="0" pivotButton="0" quotePrefix="0" xfId="0">
      <alignment horizontal="center"/>
    </xf>
    <xf applyAlignment="1" borderId="12" fillId="4" fontId="17" numFmtId="0" pivotButton="0" quotePrefix="0" xfId="0">
      <alignment horizontal="center"/>
    </xf>
    <xf applyAlignment="1" borderId="29" fillId="23" fontId="10" numFmtId="0" pivotButton="0" quotePrefix="0" xfId="0">
      <alignment horizontal="center" vertical="center"/>
    </xf>
    <xf applyAlignment="1" borderId="30" fillId="23" fontId="10" numFmtId="0" pivotButton="0" quotePrefix="0" xfId="0">
      <alignment horizontal="center" vertical="center"/>
    </xf>
    <xf applyAlignment="1" borderId="27" fillId="2" fontId="6" numFmtId="208" pivotButton="0" quotePrefix="0" xfId="0">
      <alignment horizontal="center"/>
    </xf>
    <xf applyAlignment="1" borderId="26" fillId="2" fontId="6" numFmtId="208" pivotButton="0" quotePrefix="0" xfId="0">
      <alignment horizontal="center"/>
    </xf>
    <xf applyAlignment="1" borderId="83" fillId="23" fontId="10" numFmtId="0" pivotButton="0" quotePrefix="0" xfId="0">
      <alignment horizontal="center"/>
    </xf>
    <xf applyAlignment="1" borderId="257" fillId="23" fontId="10" numFmtId="0" pivotButton="0" quotePrefix="0" xfId="0">
      <alignment horizontal="center"/>
    </xf>
    <xf applyAlignment="1" borderId="45" fillId="2" fontId="6" numFmtId="0" pivotButton="0" quotePrefix="0" xfId="0">
      <alignment horizontal="center"/>
    </xf>
    <xf applyAlignment="1" borderId="5" fillId="2" fontId="6" numFmtId="0" pivotButton="0" quotePrefix="0" xfId="0">
      <alignment horizontal="center"/>
    </xf>
    <xf applyAlignment="1" borderId="46" fillId="2" fontId="6" numFmtId="0" pivotButton="0" quotePrefix="0" xfId="0">
      <alignment horizontal="center"/>
    </xf>
    <xf applyAlignment="1" borderId="51" fillId="2" fontId="11" numFmtId="0" pivotButton="0" quotePrefix="0" xfId="0">
      <alignment horizontal="right"/>
    </xf>
    <xf applyAlignment="1" borderId="52" fillId="2" fontId="11" numFmtId="0" pivotButton="0" quotePrefix="0" xfId="0">
      <alignment horizontal="right"/>
    </xf>
    <xf applyAlignment="1" borderId="11" fillId="6" fontId="10" numFmtId="209" pivotButton="0" quotePrefix="0" xfId="0">
      <alignment horizontal="center"/>
    </xf>
    <xf applyAlignment="1" borderId="28" fillId="6" fontId="10" numFmtId="209" pivotButton="0" quotePrefix="0" xfId="0">
      <alignment horizontal="center"/>
    </xf>
    <xf applyAlignment="1" borderId="53" fillId="6" fontId="10" numFmtId="210" pivotButton="0" quotePrefix="0" xfId="0">
      <alignment horizontal="center"/>
    </xf>
    <xf applyAlignment="1" borderId="54" fillId="6" fontId="10" numFmtId="210" pivotButton="0" quotePrefix="0" xfId="0">
      <alignment horizontal="center"/>
    </xf>
    <xf applyAlignment="1" borderId="11" fillId="6" fontId="10" numFmtId="0" pivotButton="0" quotePrefix="0" xfId="0">
      <alignment horizontal="right"/>
    </xf>
    <xf applyAlignment="1" borderId="12" fillId="6" fontId="10" numFmtId="0" pivotButton="0" quotePrefix="0" xfId="0">
      <alignment horizontal="right"/>
    </xf>
    <xf applyAlignment="1" borderId="18" fillId="0" fontId="4" numFmtId="0" pivotButton="0" quotePrefix="0" xfId="0">
      <alignment horizontal="center"/>
    </xf>
    <xf applyAlignment="1" borderId="59" fillId="2" fontId="13" numFmtId="0" pivotButton="0" quotePrefix="0" xfId="0">
      <alignment horizontal="center"/>
    </xf>
    <xf applyAlignment="1" borderId="60" fillId="2" fontId="13" numFmtId="0" pivotButton="0" quotePrefix="0" xfId="0">
      <alignment horizontal="center"/>
    </xf>
    <xf applyAlignment="1" borderId="19" fillId="6" fontId="10" numFmtId="171" pivotButton="0" quotePrefix="0" xfId="0">
      <alignment horizontal="center" vertical="center"/>
    </xf>
    <xf applyAlignment="1" borderId="52" fillId="6" fontId="10" numFmtId="171" pivotButton="0" quotePrefix="0" xfId="0">
      <alignment horizontal="center" vertical="center"/>
    </xf>
    <xf applyAlignment="1" borderId="61" fillId="6" fontId="10" numFmtId="0" pivotButton="0" quotePrefix="0" xfId="0">
      <alignment horizontal="right"/>
    </xf>
    <xf applyAlignment="1" borderId="62" fillId="6" fontId="10" numFmtId="0" pivotButton="0" quotePrefix="0" xfId="0">
      <alignment horizontal="right"/>
    </xf>
    <xf applyAlignment="1" borderId="70" fillId="7" fontId="10" numFmtId="171" pivotButton="0" quotePrefix="0" xfId="0">
      <alignment horizontal="right" vertical="center"/>
    </xf>
    <xf applyAlignment="1" borderId="89" fillId="0" fontId="17" numFmtId="1" pivotButton="0" quotePrefix="0" xfId="0">
      <alignment horizontal="center"/>
    </xf>
    <xf applyAlignment="1" borderId="69" fillId="5" fontId="28" numFmtId="0" pivotButton="0" quotePrefix="0" xfId="1">
      <alignment horizontal="center"/>
    </xf>
    <xf applyAlignment="1" borderId="173" fillId="5" fontId="28" numFmtId="0" pivotButton="0" quotePrefix="0" xfId="1">
      <alignment horizontal="center"/>
    </xf>
    <xf applyAlignment="1" borderId="90" fillId="17" fontId="21" numFmtId="0" pivotButton="0" quotePrefix="0" xfId="0">
      <alignment horizontal="center"/>
    </xf>
    <xf applyAlignment="1" borderId="5" fillId="17" fontId="21" numFmtId="0" pivotButton="0" quotePrefix="0" xfId="0">
      <alignment horizontal="center"/>
    </xf>
    <xf applyAlignment="1" borderId="6" fillId="17" fontId="21" numFmtId="0" pivotButton="0" quotePrefix="0" xfId="0">
      <alignment horizontal="center"/>
    </xf>
    <xf applyAlignment="1" borderId="135" fillId="8" fontId="10" numFmtId="0" pivotButton="0" quotePrefix="0" xfId="0">
      <alignment horizontal="center"/>
    </xf>
    <xf applyAlignment="1" borderId="136" fillId="8" fontId="10" numFmtId="0" pivotButton="0" quotePrefix="0" xfId="0">
      <alignment horizontal="center"/>
    </xf>
    <xf applyAlignment="1" borderId="154" fillId="8" fontId="10" numFmtId="0" pivotButton="0" quotePrefix="0" xfId="0">
      <alignment horizontal="center"/>
    </xf>
    <xf applyAlignment="1" borderId="146" fillId="8" fontId="10" numFmtId="0" pivotButton="0" quotePrefix="0" xfId="0">
      <alignment horizontal="center"/>
    </xf>
    <xf applyAlignment="1" borderId="147" fillId="8" fontId="10" numFmtId="0" pivotButton="0" quotePrefix="0" xfId="0">
      <alignment horizontal="center"/>
    </xf>
    <xf applyAlignment="1" borderId="160" fillId="8" fontId="10" numFmtId="0" pivotButton="0" quotePrefix="0" xfId="0">
      <alignment horizontal="center"/>
    </xf>
    <xf applyAlignment="1" borderId="81" fillId="2" fontId="0" numFmtId="0" pivotButton="0" quotePrefix="0" xfId="0">
      <alignment horizontal="center"/>
    </xf>
    <xf applyAlignment="1" borderId="82" fillId="2" fontId="0" numFmtId="0" pivotButton="0" quotePrefix="0" xfId="0">
      <alignment horizontal="center"/>
    </xf>
    <xf applyAlignment="1" borderId="161" fillId="2" fontId="0" numFmtId="0" pivotButton="0" quotePrefix="0" xfId="0">
      <alignment horizontal="center"/>
    </xf>
    <xf applyAlignment="1" borderId="0" fillId="0" fontId="4" numFmtId="0" pivotButton="0" quotePrefix="0" xfId="0">
      <alignment horizontal="center"/>
    </xf>
    <xf applyAlignment="1" borderId="123" fillId="17" fontId="21" numFmtId="0" pivotButton="0" quotePrefix="0" xfId="0">
      <alignment horizontal="center"/>
    </xf>
    <xf applyAlignment="1" borderId="124" fillId="17" fontId="21" numFmtId="0" pivotButton="0" quotePrefix="0" xfId="0">
      <alignment horizontal="center"/>
    </xf>
    <xf applyAlignment="1" borderId="174" fillId="13" fontId="17" numFmtId="0" pivotButton="0" quotePrefix="0" xfId="0">
      <alignment horizontal="center"/>
    </xf>
    <xf applyAlignment="1" borderId="175" fillId="13" fontId="17" numFmtId="0" pivotButton="0" quotePrefix="0" xfId="0">
      <alignment horizontal="center"/>
    </xf>
    <xf applyAlignment="1" borderId="179" fillId="13" fontId="17" numFmtId="0" pivotButton="0" quotePrefix="0" xfId="0">
      <alignment horizontal="center"/>
    </xf>
    <xf applyAlignment="1" borderId="180" fillId="13" fontId="17" numFmtId="0" pivotButton="0" quotePrefix="0" xfId="0">
      <alignment horizontal="center"/>
    </xf>
    <xf applyAlignment="1" borderId="168" fillId="2" fontId="6" numFmtId="0" pivotButton="0" quotePrefix="0" xfId="0">
      <alignment horizontal="center"/>
    </xf>
    <xf applyAlignment="1" borderId="70" fillId="2" fontId="6" numFmtId="0" pivotButton="0" quotePrefix="0" xfId="0">
      <alignment horizontal="center"/>
    </xf>
    <xf applyAlignment="1" borderId="186" fillId="2" fontId="6" numFmtId="0" pivotButton="0" quotePrefix="0" xfId="0">
      <alignment horizontal="center"/>
    </xf>
    <xf applyAlignment="1" borderId="168" fillId="2" fontId="24" numFmtId="21" pivotButton="0" quotePrefix="0" xfId="0">
      <alignment horizontal="center"/>
    </xf>
    <xf applyAlignment="1" borderId="70" fillId="2" fontId="24" numFmtId="21" pivotButton="0" quotePrefix="0" xfId="0">
      <alignment horizontal="center"/>
    </xf>
    <xf applyAlignment="1" borderId="169" fillId="2" fontId="24" numFmtId="21" pivotButton="0" quotePrefix="0" xfId="0">
      <alignment horizontal="center"/>
    </xf>
    <xf applyAlignment="1" borderId="168" fillId="2" fontId="17" numFmtId="0" pivotButton="0" quotePrefix="0" xfId="0">
      <alignment horizontal="center"/>
    </xf>
    <xf applyAlignment="1" borderId="169" fillId="2" fontId="17" numFmtId="0" pivotButton="0" quotePrefix="0" xfId="0">
      <alignment horizontal="center"/>
    </xf>
    <xf applyAlignment="1" borderId="174" fillId="16" fontId="11" numFmtId="211" pivotButton="0" quotePrefix="0" xfId="0">
      <alignment horizontal="center"/>
    </xf>
    <xf applyAlignment="1" borderId="175" fillId="16" fontId="11" numFmtId="211" pivotButton="0" quotePrefix="0" xfId="0">
      <alignment horizontal="center"/>
    </xf>
    <xf applyAlignment="1" borderId="162" fillId="2" fontId="24" numFmtId="0" pivotButton="0" quotePrefix="0" xfId="0">
      <alignment horizontal="center"/>
    </xf>
    <xf applyAlignment="1" borderId="163" fillId="2" fontId="24" numFmtId="0" pivotButton="0" quotePrefix="0" xfId="0">
      <alignment horizontal="center"/>
    </xf>
    <xf applyAlignment="1" borderId="165" fillId="2" fontId="17" numFmtId="0" pivotButton="0" quotePrefix="0" xfId="0">
      <alignment horizontal="center"/>
    </xf>
    <xf applyAlignment="1" borderId="166" fillId="2" fontId="17" numFmtId="0" pivotButton="0" quotePrefix="0" xfId="0">
      <alignment horizontal="center"/>
    </xf>
    <xf applyAlignment="1" borderId="167" fillId="2" fontId="17" numFmtId="0" pivotButton="0" quotePrefix="0" xfId="0">
      <alignment horizontal="center"/>
    </xf>
    <xf applyAlignment="1" borderId="43" fillId="2" fontId="17" numFmtId="0" pivotButton="0" quotePrefix="0" xfId="0">
      <alignment horizontal="center"/>
    </xf>
    <xf applyAlignment="1" borderId="70" fillId="0" fontId="28" numFmtId="0" pivotButton="0" quotePrefix="0" xfId="1">
      <alignment horizontal="center" vertical="center"/>
    </xf>
    <xf applyAlignment="1" borderId="186" fillId="0" fontId="28" numFmtId="0" pivotButton="0" quotePrefix="0" xfId="1">
      <alignment horizontal="center" vertical="center"/>
    </xf>
    <xf applyAlignment="1" borderId="168" fillId="19" fontId="17" numFmtId="0" pivotButton="0" quotePrefix="0" xfId="0">
      <alignment horizontal="center"/>
    </xf>
    <xf applyAlignment="1" borderId="169" fillId="19" fontId="17" numFmtId="0" pivotButton="0" quotePrefix="0" xfId="0">
      <alignment horizontal="center"/>
    </xf>
    <xf applyAlignment="1" borderId="168" fillId="2" fontId="27" numFmtId="0" pivotButton="0" quotePrefix="0" xfId="1">
      <alignment horizontal="right"/>
    </xf>
    <xf applyAlignment="1" borderId="70" fillId="2" fontId="27" numFmtId="0" pivotButton="0" quotePrefix="0" xfId="1">
      <alignment horizontal="right"/>
    </xf>
    <xf applyAlignment="1" borderId="70" fillId="2" fontId="24" numFmtId="0" pivotButton="0" quotePrefix="0" xfId="1">
      <alignment horizontal="left"/>
    </xf>
    <xf applyAlignment="1" borderId="169" fillId="2" fontId="24" numFmtId="0" pivotButton="0" quotePrefix="0" xfId="1">
      <alignment horizontal="left"/>
    </xf>
    <xf applyAlignment="1" borderId="168" fillId="2" fontId="17" numFmtId="0" pivotButton="0" quotePrefix="0" xfId="0">
      <alignment horizontal="center"/>
    </xf>
    <xf applyAlignment="1" borderId="70" fillId="2" fontId="17" numFmtId="0" pivotButton="0" quotePrefix="0" xfId="0">
      <alignment horizontal="center"/>
    </xf>
    <xf applyAlignment="1" borderId="169" fillId="2" fontId="17" numFmtId="0" pivotButton="0" quotePrefix="0" xfId="0">
      <alignment horizontal="center"/>
    </xf>
    <xf applyAlignment="1" borderId="174" fillId="10" fontId="17" numFmtId="0" pivotButton="0" quotePrefix="0" xfId="0">
      <alignment horizontal="center"/>
    </xf>
    <xf applyAlignment="1" borderId="12" fillId="10" fontId="17" numFmtId="0" pivotButton="0" quotePrefix="0" xfId="0">
      <alignment horizontal="center"/>
    </xf>
    <xf applyAlignment="1" borderId="175" fillId="10" fontId="17" numFmtId="0" pivotButton="0" quotePrefix="0" xfId="0">
      <alignment horizontal="center"/>
    </xf>
    <xf applyAlignment="1" borderId="179" fillId="10" fontId="17" numFmtId="0" pivotButton="0" quotePrefix="0" xfId="0">
      <alignment horizontal="center"/>
    </xf>
    <xf applyAlignment="1" borderId="62" fillId="10" fontId="17" numFmtId="0" pivotButton="0" quotePrefix="0" xfId="0">
      <alignment horizontal="center"/>
    </xf>
    <xf applyAlignment="1" borderId="180" fillId="10" fontId="17" numFmtId="0" pivotButton="0" quotePrefix="0" xfId="0">
      <alignment horizontal="center"/>
    </xf>
    <xf applyAlignment="1" borderId="168" fillId="2" fontId="10" numFmtId="0" pivotButton="0" quotePrefix="0" xfId="0">
      <alignment horizontal="center"/>
    </xf>
    <xf applyAlignment="1" borderId="70" fillId="2" fontId="10" numFmtId="0" pivotButton="0" quotePrefix="0" xfId="0">
      <alignment horizontal="center"/>
    </xf>
    <xf applyAlignment="1" borderId="171" fillId="15" fontId="29" numFmtId="212" pivotButton="0" quotePrefix="0" xfId="0">
      <alignment horizontal="center"/>
    </xf>
    <xf applyAlignment="1" borderId="24" fillId="15" fontId="29" numFmtId="212" pivotButton="0" quotePrefix="0" xfId="0">
      <alignment horizontal="center"/>
    </xf>
    <xf applyAlignment="1" borderId="258" fillId="13" fontId="11" numFmtId="213" pivotButton="0" quotePrefix="0" xfId="0">
      <alignment horizontal="center"/>
    </xf>
    <xf applyAlignment="1" borderId="40" fillId="13" fontId="11" numFmtId="213" pivotButton="0" quotePrefix="0" xfId="0">
      <alignment horizontal="center"/>
    </xf>
    <xf applyAlignment="1" borderId="165" fillId="16" fontId="11" numFmtId="214" pivotButton="0" quotePrefix="0" xfId="0">
      <alignment horizontal="center"/>
    </xf>
    <xf applyAlignment="1" borderId="259" fillId="16" fontId="11" numFmtId="214" pivotButton="0" quotePrefix="0" xfId="0">
      <alignment horizontal="center"/>
    </xf>
    <xf applyAlignment="1" borderId="171" fillId="15" fontId="11" numFmtId="215" pivotButton="0" quotePrefix="0" xfId="0">
      <alignment horizontal="center"/>
    </xf>
    <xf applyAlignment="1" borderId="24" fillId="15" fontId="11" numFmtId="215" pivotButton="0" quotePrefix="0" xfId="0">
      <alignment horizontal="center"/>
    </xf>
    <xf applyAlignment="1" borderId="179" fillId="13" fontId="11" numFmtId="216" pivotButton="0" quotePrefix="0" xfId="0">
      <alignment horizontal="center"/>
    </xf>
    <xf applyAlignment="1" borderId="180" fillId="13" fontId="11" numFmtId="216" pivotButton="0" quotePrefix="0" xfId="0">
      <alignment horizontal="center"/>
    </xf>
    <xf applyAlignment="1" borderId="168" fillId="2" fontId="30" numFmtId="0" pivotButton="0" quotePrefix="0" xfId="0">
      <alignment horizontal="center"/>
    </xf>
    <xf applyAlignment="1" borderId="70" fillId="2" fontId="30" numFmtId="0" pivotButton="0" quotePrefix="0" xfId="0">
      <alignment horizontal="center"/>
    </xf>
    <xf applyAlignment="1" borderId="186" fillId="2" fontId="30" numFmtId="0" pivotButton="0" quotePrefix="0" xfId="0">
      <alignment horizontal="center"/>
    </xf>
    <xf applyAlignment="1" borderId="201" fillId="2" fontId="11" numFmtId="0" pivotButton="0" quotePrefix="0" xfId="0">
      <alignment horizontal="center"/>
    </xf>
    <xf applyAlignment="1" borderId="202" fillId="2" fontId="11" numFmtId="0" pivotButton="0" quotePrefix="0" xfId="0">
      <alignment horizontal="center"/>
    </xf>
    <xf applyAlignment="1" applyProtection="1" borderId="203" fillId="2" fontId="39" numFmtId="1" pivotButton="0" quotePrefix="0" xfId="1">
      <alignment horizontal="center"/>
      <protection hidden="0" locked="0"/>
    </xf>
    <xf applyAlignment="1" applyProtection="1" borderId="169" fillId="2" fontId="39" numFmtId="1" pivotButton="0" quotePrefix="0" xfId="1">
      <alignment horizontal="center"/>
      <protection hidden="0" locked="0"/>
    </xf>
    <xf applyAlignment="1" borderId="90" fillId="2" fontId="17" numFmtId="0" pivotButton="0" quotePrefix="0" xfId="0">
      <alignment horizontal="center"/>
    </xf>
    <xf applyAlignment="1" borderId="5" fillId="2" fontId="17" numFmtId="0" pivotButton="0" quotePrefix="0" xfId="0">
      <alignment horizontal="center"/>
    </xf>
    <xf applyAlignment="1" borderId="6" fillId="2" fontId="17" numFmtId="0" pivotButton="0" quotePrefix="0" xfId="0">
      <alignment horizontal="center"/>
    </xf>
    <xf applyAlignment="1" borderId="168" fillId="0" fontId="10" numFmtId="0" pivotButton="0" quotePrefix="0" xfId="0">
      <alignment horizontal="center"/>
    </xf>
    <xf applyAlignment="1" borderId="70" fillId="0" fontId="10" numFmtId="0" pivotButton="0" quotePrefix="0" xfId="0">
      <alignment horizontal="center"/>
    </xf>
    <xf applyAlignment="1" borderId="186" fillId="0" fontId="10" numFmtId="0" pivotButton="0" quotePrefix="0" xfId="0">
      <alignment horizontal="center"/>
    </xf>
    <xf applyAlignment="1" borderId="168" fillId="2" fontId="31" numFmtId="0" pivotButton="0" quotePrefix="0" xfId="1">
      <alignment horizontal="right"/>
    </xf>
    <xf applyAlignment="1" borderId="70" fillId="2" fontId="31" numFmtId="0" pivotButton="0" quotePrefix="0" xfId="1">
      <alignment horizontal="right"/>
    </xf>
    <xf applyAlignment="1" borderId="25" fillId="2" fontId="11" numFmtId="0" pivotButton="0" quotePrefix="0" xfId="0">
      <alignment horizontal="center"/>
    </xf>
    <xf applyAlignment="1" borderId="200" fillId="2" fontId="11" numFmtId="0" pivotButton="0" quotePrefix="0" xfId="0">
      <alignment horizontal="center"/>
    </xf>
    <xf applyAlignment="1" borderId="27" fillId="2" fontId="36" numFmtId="0" pivotButton="0" quotePrefix="0" xfId="0">
      <alignment horizontal="center"/>
    </xf>
    <xf applyAlignment="1" borderId="191" fillId="2" fontId="36" numFmtId="0" pivotButton="0" quotePrefix="0" xfId="0">
      <alignment horizontal="center"/>
    </xf>
    <xf applyAlignment="1" borderId="7" fillId="8" fontId="10" numFmtId="0" pivotButton="0" quotePrefix="0" xfId="0">
      <alignment horizontal="center"/>
    </xf>
    <xf applyAlignment="1" borderId="134" fillId="8" fontId="10" numFmtId="0" pivotButton="0" quotePrefix="0" xfId="0">
      <alignment horizontal="center"/>
    </xf>
    <xf applyAlignment="1" borderId="135" fillId="8" fontId="11" numFmtId="49" pivotButton="0" quotePrefix="0" xfId="0">
      <alignment horizontal="center"/>
    </xf>
    <xf applyAlignment="1" borderId="136" fillId="8" fontId="11" numFmtId="0" pivotButton="0" quotePrefix="0" xfId="0">
      <alignment horizontal="center"/>
    </xf>
    <xf applyAlignment="1" borderId="51" fillId="8" fontId="10" numFmtId="0" pivotButton="0" quotePrefix="0" xfId="0">
      <alignment horizontal="center"/>
    </xf>
    <xf applyAlignment="1" borderId="20" fillId="8" fontId="10" numFmtId="0" pivotButton="0" quotePrefix="0" xfId="0">
      <alignment horizontal="center"/>
    </xf>
    <xf applyAlignment="1" borderId="205" fillId="8" fontId="10" numFmtId="0" pivotButton="0" quotePrefix="0" xfId="0">
      <alignment horizontal="center"/>
    </xf>
    <xf applyAlignment="1" borderId="142" fillId="8" fontId="10" numFmtId="0" pivotButton="0" quotePrefix="0" xfId="0">
      <alignment horizontal="center"/>
    </xf>
    <xf applyAlignment="1" borderId="146" fillId="8" fontId="11" numFmtId="0" pivotButton="0" quotePrefix="0" xfId="0">
      <alignment horizontal="center"/>
    </xf>
    <xf applyAlignment="1" borderId="147" fillId="8" fontId="11" numFmtId="0" pivotButton="0" quotePrefix="0" xfId="0">
      <alignment horizontal="center"/>
    </xf>
    <xf applyAlignment="1" borderId="33" fillId="8" fontId="10" numFmtId="0" pivotButton="0" quotePrefix="0" xfId="0">
      <alignment horizontal="center"/>
    </xf>
    <xf applyAlignment="1" borderId="89" fillId="8" fontId="10" numFmtId="0" pivotButton="0" quotePrefix="0" xfId="0">
      <alignment horizontal="center"/>
    </xf>
    <xf applyAlignment="1" borderId="202" fillId="8" fontId="10" numFmtId="0" pivotButton="0" quotePrefix="0" xfId="0">
      <alignment horizontal="center"/>
    </xf>
    <xf applyAlignment="1" borderId="182" fillId="8" fontId="10" numFmtId="0" pivotButton="0" quotePrefix="0" xfId="0">
      <alignment horizontal="center"/>
    </xf>
    <xf applyAlignment="1" borderId="209" fillId="8" fontId="10" numFmtId="0" pivotButton="0" quotePrefix="0" xfId="0">
      <alignment horizontal="center"/>
    </xf>
    <xf applyAlignment="1" borderId="25" fillId="8" fontId="24" numFmtId="0" pivotButton="0" quotePrefix="0" xfId="0">
      <alignment horizontal="center"/>
    </xf>
    <xf applyAlignment="1" borderId="26" fillId="8" fontId="24" numFmtId="0" pivotButton="0" quotePrefix="0" xfId="0">
      <alignment horizontal="center"/>
    </xf>
    <xf applyAlignment="1" applyProtection="1" borderId="204" fillId="0" fontId="40" numFmtId="21" pivotButton="0" quotePrefix="0" xfId="0">
      <alignment horizontal="center" vertical="center"/>
      <protection hidden="0" locked="0"/>
    </xf>
    <xf applyAlignment="1" applyProtection="1" borderId="206" fillId="0" fontId="40" numFmtId="21" pivotButton="0" quotePrefix="0" xfId="0">
      <alignment horizontal="center" vertical="center"/>
      <protection hidden="0" locked="0"/>
    </xf>
    <xf applyAlignment="1" applyProtection="1" borderId="207" fillId="0" fontId="40" numFmtId="21" pivotButton="0" quotePrefix="0" xfId="0">
      <alignment horizontal="center" vertical="center"/>
      <protection hidden="0" locked="0"/>
    </xf>
    <xf applyAlignment="1" borderId="59" fillId="8" fontId="11" numFmtId="0" pivotButton="0" quotePrefix="0" xfId="0">
      <alignment horizontal="center" vertical="top"/>
    </xf>
    <xf applyAlignment="1" borderId="0" fillId="8" fontId="11" numFmtId="0" pivotButton="0" quotePrefix="0" xfId="0">
      <alignment horizontal="center" vertical="top"/>
    </xf>
    <xf applyAlignment="1" borderId="168" fillId="7" fontId="11" numFmtId="0" pivotButton="0" quotePrefix="0" xfId="0">
      <alignment horizontal="center"/>
    </xf>
    <xf applyAlignment="1" borderId="169" fillId="7" fontId="11" numFmtId="0" pivotButton="0" quotePrefix="0" xfId="0">
      <alignment horizontal="center"/>
    </xf>
    <xf applyAlignment="1" borderId="129" fillId="20" fontId="11" numFmtId="0" pivotButton="0" quotePrefix="0" xfId="0">
      <alignment horizontal="center"/>
    </xf>
    <xf applyAlignment="1" borderId="130" fillId="20" fontId="11" numFmtId="0" pivotButton="0" quotePrefix="0" xfId="0">
      <alignment horizontal="center"/>
    </xf>
    <xf applyAlignment="1" borderId="179" fillId="8" fontId="14" numFmtId="0" pivotButton="0" quotePrefix="0" xfId="0">
      <alignment horizontal="center"/>
    </xf>
    <xf applyAlignment="1" borderId="62" fillId="8" fontId="14" numFmtId="0" pivotButton="0" quotePrefix="0" xfId="0">
      <alignment horizontal="center"/>
    </xf>
    <xf applyAlignment="1" borderId="174" fillId="14" fontId="11" numFmtId="0" pivotButton="0" quotePrefix="0" xfId="0">
      <alignment horizontal="center"/>
    </xf>
    <xf applyAlignment="1" borderId="175" fillId="14" fontId="11" numFmtId="0" pivotButton="0" quotePrefix="0" xfId="0">
      <alignment horizontal="center"/>
    </xf>
    <xf applyAlignment="1" borderId="25" fillId="0" fontId="43" numFmtId="0" pivotButton="0" quotePrefix="0" xfId="0">
      <alignment horizontal="center"/>
    </xf>
    <xf applyAlignment="1" borderId="26" fillId="0" fontId="43" numFmtId="0" pivotButton="0" quotePrefix="0" xfId="0">
      <alignment horizontal="center"/>
    </xf>
    <xf applyAlignment="1" borderId="140" fillId="14" fontId="11" numFmtId="0" pivotButton="0" quotePrefix="0" xfId="0">
      <alignment horizontal="center"/>
    </xf>
    <xf applyAlignment="1" borderId="141" fillId="14" fontId="11" numFmtId="0" pivotButton="0" quotePrefix="0" xfId="0">
      <alignment horizontal="center"/>
    </xf>
    <xf applyAlignment="1" borderId="81" fillId="21" fontId="24" numFmtId="190" pivotButton="0" quotePrefix="0" xfId="0">
      <alignment horizontal="center"/>
    </xf>
    <xf applyAlignment="1" borderId="82" fillId="21" fontId="24" numFmtId="190" pivotButton="0" quotePrefix="0" xfId="0">
      <alignment horizontal="center"/>
    </xf>
    <xf applyAlignment="1" borderId="168" fillId="2" fontId="0" numFmtId="0" pivotButton="0" quotePrefix="0" xfId="0">
      <alignment horizontal="center"/>
    </xf>
    <xf applyAlignment="1" borderId="70" fillId="2" fontId="0" numFmtId="0" pivotButton="0" quotePrefix="0" xfId="0">
      <alignment horizontal="center"/>
    </xf>
    <xf applyAlignment="1" borderId="186" fillId="2" fontId="0" numFmtId="0" pivotButton="0" quotePrefix="0" xfId="0">
      <alignment horizontal="center"/>
    </xf>
    <xf applyAlignment="1" borderId="168" fillId="2" fontId="24" numFmtId="0" pivotButton="0" quotePrefix="0" xfId="0">
      <alignment horizontal="center"/>
    </xf>
    <xf applyAlignment="1" borderId="70" fillId="2" fontId="24" numFmtId="0" pivotButton="0" quotePrefix="0" xfId="0">
      <alignment horizontal="center"/>
    </xf>
    <xf applyAlignment="1" borderId="186" fillId="2" fontId="24" numFmtId="0" pivotButton="0" quotePrefix="0" xfId="0">
      <alignment horizontal="center"/>
    </xf>
    <xf applyAlignment="1" borderId="90" fillId="2" fontId="11" numFmtId="0" pivotButton="0" quotePrefix="0" xfId="0">
      <alignment horizontal="center"/>
    </xf>
    <xf applyAlignment="1" borderId="5" fillId="2" fontId="11" numFmtId="0" pivotButton="0" quotePrefix="0" xfId="0">
      <alignment horizontal="center"/>
    </xf>
    <xf applyAlignment="1" borderId="6" fillId="2" fontId="11" numFmtId="0" pivotButton="0" quotePrefix="0" xfId="0">
      <alignment horizontal="center"/>
    </xf>
    <xf applyAlignment="1" borderId="129" fillId="2" fontId="6" numFmtId="0" pivotButton="0" quotePrefix="0" xfId="0">
      <alignment horizontal="center"/>
    </xf>
    <xf applyAlignment="1" borderId="130" fillId="2" fontId="6" numFmtId="0" pivotButton="0" quotePrefix="0" xfId="0">
      <alignment horizontal="center"/>
    </xf>
    <xf applyAlignment="1" borderId="216" fillId="2" fontId="6" numFmtId="0" pivotButton="0" quotePrefix="0" xfId="0">
      <alignment horizontal="right"/>
    </xf>
    <xf applyAlignment="1" borderId="70" fillId="2" fontId="6" numFmtId="0" pivotButton="0" quotePrefix="0" xfId="0">
      <alignment horizontal="right"/>
    </xf>
    <xf applyAlignment="1" borderId="203" fillId="2" fontId="6" numFmtId="21" pivotButton="0" quotePrefix="0" xfId="0">
      <alignment horizontal="right"/>
    </xf>
    <xf applyAlignment="1" borderId="70" fillId="2" fontId="6" numFmtId="21" pivotButton="0" quotePrefix="0" xfId="0">
      <alignment horizontal="right"/>
    </xf>
    <xf applyAlignment="1" borderId="174" fillId="8" fontId="10" numFmtId="0" pivotButton="0" quotePrefix="0" xfId="0">
      <alignment horizontal="center"/>
    </xf>
    <xf applyAlignment="1" borderId="175" fillId="8" fontId="10" numFmtId="0" pivotButton="0" quotePrefix="0" xfId="0">
      <alignment horizontal="center"/>
    </xf>
    <xf applyAlignment="1" borderId="27" fillId="2" fontId="11" numFmtId="0" pivotButton="0" quotePrefix="0" xfId="0">
      <alignment horizontal="center"/>
    </xf>
    <xf applyAlignment="1" borderId="216" fillId="2" fontId="11" numFmtId="0" pivotButton="0" quotePrefix="0" xfId="0">
      <alignment horizontal="center"/>
    </xf>
    <xf applyAlignment="1" borderId="26" fillId="2" fontId="11" numFmtId="0" pivotButton="0" quotePrefix="0" xfId="0">
      <alignment horizontal="center"/>
    </xf>
    <xf applyAlignment="1" borderId="179" fillId="14" fontId="11" numFmtId="0" pivotButton="0" quotePrefix="0" xfId="0">
      <alignment horizontal="center"/>
    </xf>
    <xf applyAlignment="1" borderId="180" fillId="14" fontId="11" numFmtId="0" pivotButton="0" quotePrefix="0" xfId="0">
      <alignment horizontal="center"/>
    </xf>
    <xf applyAlignment="1" borderId="123" fillId="0" fontId="10" numFmtId="0" pivotButton="0" quotePrefix="0" xfId="0">
      <alignment horizontal="center" vertical="top"/>
    </xf>
    <xf applyAlignment="1" borderId="124" fillId="0" fontId="10" numFmtId="0" pivotButton="0" quotePrefix="0" xfId="0">
      <alignment horizontal="center" vertical="top"/>
    </xf>
    <xf applyAlignment="1" borderId="32" fillId="0" fontId="10" numFmtId="0" pivotButton="0" quotePrefix="0" xfId="0">
      <alignment horizontal="center" vertical="top"/>
    </xf>
    <xf applyAlignment="1" borderId="130" fillId="2" fontId="11" numFmtId="0" pivotButton="0" quotePrefix="0" xfId="0">
      <alignment horizontal="right"/>
    </xf>
    <xf applyAlignment="1" borderId="51" fillId="8" fontId="10" numFmtId="217" pivotButton="0" quotePrefix="0" xfId="0">
      <alignment horizontal="center"/>
    </xf>
    <xf applyAlignment="1" borderId="128" fillId="8" fontId="10" numFmtId="217" pivotButton="0" quotePrefix="0" xfId="0">
      <alignment horizontal="center"/>
    </xf>
    <xf applyAlignment="1" borderId="213" fillId="11" fontId="6" numFmtId="181" pivotButton="0" quotePrefix="0" xfId="0">
      <alignment horizontal="center" vertical="center"/>
    </xf>
    <xf applyAlignment="1" borderId="208" fillId="11" fontId="6" numFmtId="181" pivotButton="0" quotePrefix="0" xfId="0">
      <alignment horizontal="center" vertical="center"/>
    </xf>
    <xf applyAlignment="1" borderId="265" fillId="11" fontId="6" numFmtId="181" pivotButton="0" quotePrefix="0" xfId="0">
      <alignment horizontal="center" vertical="center"/>
    </xf>
    <xf applyAlignment="1" borderId="203" fillId="2" fontId="10" numFmtId="21" pivotButton="0" quotePrefix="0" xfId="0">
      <alignment horizontal="center"/>
    </xf>
    <xf applyAlignment="1" borderId="70" fillId="2" fontId="10" numFmtId="21" pivotButton="0" quotePrefix="0" xfId="0">
      <alignment horizontal="center"/>
    </xf>
    <xf applyAlignment="1" borderId="18" fillId="2" fontId="0" numFmtId="0" pivotButton="0" quotePrefix="0" xfId="0">
      <alignment horizontal="center"/>
    </xf>
    <xf applyAlignment="1" borderId="169" fillId="2" fontId="0" numFmtId="0" pivotButton="0" quotePrefix="0" xfId="0">
      <alignment horizontal="center"/>
    </xf>
    <xf applyAlignment="1" borderId="70" fillId="0" fontId="10" numFmtId="0" pivotButton="0" quotePrefix="0" xfId="0">
      <alignment horizontal="center" vertical="top"/>
    </xf>
    <xf borderId="25" fillId="2" fontId="17" numFmtId="0" pivotButton="0" quotePrefix="0" xfId="0"/>
    <xf borderId="26" fillId="2" fontId="17" numFmtId="0" pivotButton="0" quotePrefix="0" xfId="0"/>
    <xf applyAlignment="1" borderId="89" fillId="0" fontId="13" numFmtId="0" pivotButton="0" quotePrefix="0" xfId="0">
      <alignment horizontal="center" vertical="top"/>
    </xf>
    <xf applyAlignment="1" borderId="202" fillId="0" fontId="13" numFmtId="0" pivotButton="0" quotePrefix="0" xfId="0">
      <alignment horizontal="center" vertical="top"/>
    </xf>
    <xf applyAlignment="1" borderId="217" fillId="2" fontId="11" numFmtId="0" pivotButton="0" quotePrefix="0" xfId="0">
      <alignment horizontal="center"/>
    </xf>
    <xf applyAlignment="1" borderId="218" fillId="2" fontId="11" numFmtId="0" pivotButton="0" quotePrefix="0" xfId="0">
      <alignment horizontal="center"/>
    </xf>
    <xf applyAlignment="1" borderId="219" fillId="2" fontId="14" numFmtId="0" pivotButton="0" quotePrefix="0" xfId="0">
      <alignment horizontal="center"/>
    </xf>
    <xf applyAlignment="1" borderId="218" fillId="2" fontId="14" numFmtId="0" pivotButton="0" quotePrefix="0" xfId="0">
      <alignment horizontal="center"/>
    </xf>
    <xf applyAlignment="1" borderId="18" fillId="2" fontId="14" numFmtId="0" pivotButton="0" quotePrefix="0" xfId="0">
      <alignment horizontal="center"/>
    </xf>
    <xf applyAlignment="1" borderId="53" fillId="11" fontId="6" numFmtId="170" pivotButton="0" quotePrefix="0" xfId="0">
      <alignment horizontal="center"/>
    </xf>
    <xf applyAlignment="1" borderId="136" fillId="11" fontId="6" numFmtId="170" pivotButton="0" quotePrefix="0" xfId="0">
      <alignment horizontal="center"/>
    </xf>
    <xf applyAlignment="1" borderId="214" fillId="11" fontId="6" numFmtId="170" pivotButton="0" quotePrefix="0" xfId="0">
      <alignment horizontal="center"/>
    </xf>
    <xf applyAlignment="1" borderId="175" fillId="11" fontId="6" numFmtId="170" pivotButton="0" quotePrefix="0" xfId="0">
      <alignment horizontal="center"/>
    </xf>
    <xf applyAlignment="1" borderId="12" fillId="11" fontId="6" numFmtId="170" pivotButton="0" quotePrefix="0" xfId="0">
      <alignment horizontal="center"/>
    </xf>
    <xf applyAlignment="1" borderId="146" fillId="8" fontId="14" numFmtId="0" pivotButton="0" quotePrefix="0" xfId="0">
      <alignment horizontal="center"/>
    </xf>
    <xf applyAlignment="1" borderId="17" fillId="8" fontId="14" numFmtId="0" pivotButton="0" quotePrefix="0" xfId="0">
      <alignment horizontal="center"/>
    </xf>
    <xf applyAlignment="1" borderId="59" fillId="5" fontId="10" numFmtId="170" pivotButton="0" quotePrefix="0" xfId="0">
      <alignment horizontal="center" vertical="center"/>
    </xf>
    <xf applyAlignment="1" borderId="0" fillId="5" fontId="10" numFmtId="170" pivotButton="0" quotePrefix="0" xfId="0">
      <alignment horizontal="center" vertical="center"/>
    </xf>
    <xf applyAlignment="1" borderId="60" fillId="5" fontId="10" numFmtId="170" pivotButton="0" quotePrefix="0" xfId="0">
      <alignment horizontal="center" vertical="center"/>
    </xf>
    <xf applyAlignment="1" borderId="11" fillId="11" fontId="11" numFmtId="0" pivotButton="0" quotePrefix="0" xfId="0">
      <alignment horizontal="right"/>
    </xf>
    <xf applyAlignment="1" borderId="28" fillId="11" fontId="11" numFmtId="0" pivotButton="0" quotePrefix="0" xfId="0">
      <alignment horizontal="right"/>
    </xf>
    <xf applyAlignment="1" borderId="220" fillId="8" fontId="14" numFmtId="0" pivotButton="0" quotePrefix="0" xfId="0">
      <alignment horizontal="center"/>
    </xf>
    <xf applyAlignment="1" borderId="216" fillId="8" fontId="14" numFmtId="0" pivotButton="0" quotePrefix="0" xfId="0">
      <alignment horizontal="center"/>
    </xf>
    <xf applyAlignment="1" borderId="14" fillId="5" fontId="10" numFmtId="170" pivotButton="0" quotePrefix="0" xfId="0">
      <alignment horizontal="center" vertical="center"/>
    </xf>
    <xf applyAlignment="1" borderId="18" fillId="5" fontId="10" numFmtId="170" pivotButton="0" quotePrefix="0" xfId="0">
      <alignment horizontal="center" vertical="center"/>
    </xf>
    <xf applyAlignment="1" borderId="15" fillId="5" fontId="10" numFmtId="170" pivotButton="0" quotePrefix="0" xfId="0">
      <alignment horizontal="center" vertical="center"/>
    </xf>
    <xf applyAlignment="1" borderId="61" fillId="11" fontId="11" numFmtId="0" pivotButton="0" quotePrefix="0" xfId="0">
      <alignment horizontal="right"/>
    </xf>
    <xf applyAlignment="1" borderId="266" fillId="11" fontId="11" numFmtId="0" pivotButton="0" quotePrefix="0" xfId="0">
      <alignment horizontal="right"/>
    </xf>
    <xf applyAlignment="1" borderId="25" fillId="16" fontId="17" numFmtId="0" pivotButton="0" quotePrefix="0" xfId="0">
      <alignment horizontal="center"/>
    </xf>
    <xf applyAlignment="1" borderId="26" fillId="16" fontId="17" numFmtId="0" pivotButton="0" quotePrefix="0" xfId="0">
      <alignment horizontal="center"/>
    </xf>
    <xf applyAlignment="1" borderId="191" fillId="16" fontId="17" numFmtId="0" pivotButton="0" quotePrefix="0" xfId="0">
      <alignment horizontal="center"/>
    </xf>
    <xf applyAlignment="1" borderId="173" fillId="2" fontId="0" numFmtId="0" pivotButton="0" quotePrefix="0" xfId="0">
      <alignment horizontal="center"/>
    </xf>
    <xf applyAlignment="1" borderId="132" fillId="2" fontId="11" numFmtId="0" pivotButton="0" quotePrefix="0" xfId="0">
      <alignment horizontal="center"/>
    </xf>
    <xf applyAlignment="1" borderId="130" fillId="2" fontId="11" numFmtId="0" pivotButton="0" quotePrefix="0" xfId="0">
      <alignment horizontal="center"/>
    </xf>
    <xf applyAlignment="1" borderId="203" fillId="2" fontId="11" numFmtId="0" pivotButton="0" quotePrefix="0" xfId="0">
      <alignment horizontal="center"/>
    </xf>
    <xf applyAlignment="1" borderId="70" fillId="2" fontId="11" numFmtId="0" pivotButton="0" quotePrefix="0" xfId="0">
      <alignment horizontal="center"/>
    </xf>
    <xf applyAlignment="1" borderId="90" fillId="2" fontId="17" numFmtId="21" pivotButton="0" quotePrefix="0" xfId="0">
      <alignment horizontal="center"/>
    </xf>
    <xf applyAlignment="1" borderId="136" fillId="15" fontId="6" numFmtId="218" pivotButton="0" quotePrefix="0" xfId="0">
      <alignment horizontal="center"/>
    </xf>
    <xf applyAlignment="1" borderId="154" fillId="15" fontId="6" numFmtId="218" pivotButton="0" quotePrefix="0" xfId="0">
      <alignment horizontal="center"/>
    </xf>
    <xf applyAlignment="1" borderId="178" fillId="11" fontId="6" numFmtId="170" pivotButton="0" quotePrefix="0" xfId="0">
      <alignment horizontal="center"/>
    </xf>
    <xf applyAlignment="1" borderId="147" fillId="11" fontId="6" numFmtId="170" pivotButton="0" quotePrefix="0" xfId="0">
      <alignment horizontal="center"/>
    </xf>
    <xf applyAlignment="1" borderId="177" fillId="11" fontId="6" numFmtId="170" pivotButton="0" quotePrefix="0" xfId="0">
      <alignment horizontal="center"/>
    </xf>
    <xf applyAlignment="1" borderId="90" fillId="2" fontId="24" numFmtId="0" pivotButton="0" quotePrefix="0" xfId="0">
      <alignment horizontal="center"/>
    </xf>
    <xf applyAlignment="1" borderId="5" fillId="2" fontId="24" numFmtId="0" pivotButton="0" quotePrefix="0" xfId="0">
      <alignment horizontal="center"/>
    </xf>
    <xf applyAlignment="1" borderId="6" fillId="2" fontId="24" numFmtId="0" pivotButton="0" quotePrefix="0" xfId="0">
      <alignment horizontal="center"/>
    </xf>
    <xf applyAlignment="1" borderId="22" fillId="15" fontId="6" numFmtId="193" pivotButton="0" quotePrefix="0" xfId="0">
      <alignment horizontal="center"/>
    </xf>
    <xf applyAlignment="1" borderId="221" fillId="15" fontId="6" numFmtId="193" pivotButton="0" quotePrefix="0" xfId="0">
      <alignment horizontal="center"/>
    </xf>
    <xf applyAlignment="1" applyProtection="1" borderId="255" fillId="0" fontId="7" numFmtId="170" pivotButton="0" quotePrefix="0" xfId="0">
      <alignment horizontal="center"/>
      <protection hidden="0" locked="0"/>
    </xf>
    <xf applyAlignment="1" applyProtection="1" borderId="148" fillId="0" fontId="7" numFmtId="170" pivotButton="0" quotePrefix="0" xfId="0">
      <alignment horizontal="center"/>
      <protection hidden="0" locked="0"/>
    </xf>
    <xf applyAlignment="1" borderId="148" fillId="25" fontId="6" numFmtId="2" pivotButton="0" quotePrefix="0" xfId="0">
      <alignment horizontal="center"/>
    </xf>
    <xf applyAlignment="1" borderId="209" fillId="9" fontId="17" numFmtId="219" pivotButton="0" quotePrefix="0" xfId="0">
      <alignment horizontal="center"/>
    </xf>
    <xf applyAlignment="1" borderId="30" fillId="9" fontId="17" numFmtId="219" pivotButton="0" quotePrefix="0" xfId="0">
      <alignment horizontal="center"/>
    </xf>
    <xf applyAlignment="1" borderId="223" fillId="8" fontId="14" numFmtId="0" pivotButton="0" quotePrefix="0" xfId="0">
      <alignment horizontal="center"/>
    </xf>
    <xf applyAlignment="1" borderId="224" fillId="8" fontId="14" numFmtId="0" pivotButton="0" quotePrefix="0" xfId="0">
      <alignment horizontal="center"/>
    </xf>
    <xf applyAlignment="1" borderId="267" fillId="9" fontId="17" numFmtId="0" pivotButton="0" quotePrefix="0" xfId="0">
      <alignment horizontal="center"/>
    </xf>
    <xf applyAlignment="1" borderId="268" fillId="9" fontId="17" numFmtId="0" pivotButton="0" quotePrefix="0" xfId="0">
      <alignment horizontal="center"/>
    </xf>
    <xf applyAlignment="1" borderId="269" fillId="9" fontId="17" numFmtId="0" pivotButton="0" quotePrefix="0" xfId="0">
      <alignment horizontal="center"/>
    </xf>
    <xf applyAlignment="1" applyProtection="1" borderId="270" fillId="0" fontId="7" numFmtId="170" pivotButton="0" quotePrefix="0" xfId="0">
      <alignment horizontal="center"/>
      <protection hidden="0" locked="0"/>
    </xf>
    <xf applyAlignment="1" applyProtection="1" borderId="271" fillId="0" fontId="7" numFmtId="170" pivotButton="0" quotePrefix="0" xfId="0">
      <alignment horizontal="center"/>
      <protection hidden="0" locked="0"/>
    </xf>
    <xf applyAlignment="1" borderId="271" fillId="9" fontId="4" numFmtId="2" pivotButton="0" quotePrefix="0" xfId="0">
      <alignment horizontal="center"/>
    </xf>
    <xf applyAlignment="1" borderId="272" fillId="9" fontId="17" numFmtId="219" pivotButton="0" quotePrefix="0" xfId="0">
      <alignment horizontal="center"/>
    </xf>
    <xf applyAlignment="1" borderId="268" fillId="9" fontId="17" numFmtId="219" pivotButton="0" quotePrefix="0" xfId="0">
      <alignment horizontal="center"/>
    </xf>
    <xf applyAlignment="1" applyProtection="1" borderId="143" fillId="8" fontId="47" numFmtId="0" pivotButton="0" quotePrefix="0" xfId="0">
      <alignment horizontal="center"/>
      <protection hidden="0" locked="0"/>
    </xf>
    <xf applyAlignment="1" applyProtection="1" borderId="139" fillId="8" fontId="47" numFmtId="0" pivotButton="0" quotePrefix="0" xfId="0">
      <alignment horizontal="center"/>
      <protection hidden="0" locked="0"/>
    </xf>
    <xf borderId="12" fillId="9" fontId="17" numFmtId="0" pivotButton="0" quotePrefix="0" xfId="0"/>
    <xf borderId="28" fillId="9" fontId="17" numFmtId="0" pivotButton="0" quotePrefix="0" xfId="0"/>
    <xf applyAlignment="1" borderId="22" fillId="0" fontId="24" numFmtId="0" pivotButton="0" quotePrefix="0" xfId="0">
      <alignment horizontal="center"/>
    </xf>
    <xf applyAlignment="1" borderId="23" fillId="0" fontId="24" numFmtId="0" pivotButton="0" quotePrefix="0" xfId="0">
      <alignment horizontal="center"/>
    </xf>
    <xf applyAlignment="1" borderId="24" fillId="0" fontId="24" numFmtId="0" pivotButton="0" quotePrefix="0" xfId="0">
      <alignment horizontal="center"/>
    </xf>
    <xf applyAlignment="1" borderId="69" fillId="0" fontId="27" numFmtId="0" pivotButton="0" quotePrefix="0" xfId="1">
      <alignment horizontal="center"/>
    </xf>
    <xf applyAlignment="1" borderId="70" fillId="0" fontId="27" numFmtId="0" pivotButton="0" quotePrefix="0" xfId="1">
      <alignment horizontal="center"/>
    </xf>
    <xf applyAlignment="1" borderId="173" fillId="0" fontId="27" numFmtId="0" pivotButton="0" quotePrefix="0" xfId="1">
      <alignment horizontal="center"/>
    </xf>
    <xf applyAlignment="1" borderId="171" fillId="2" fontId="11" numFmtId="0" pivotButton="0" quotePrefix="0" xfId="0">
      <alignment horizontal="center"/>
    </xf>
    <xf applyAlignment="1" borderId="222" fillId="2" fontId="11" numFmtId="0" pivotButton="0" quotePrefix="0" xfId="0">
      <alignment horizontal="center"/>
    </xf>
    <xf applyAlignment="1" borderId="51" fillId="2" fontId="11" numFmtId="0" pivotButton="0" quotePrefix="0" xfId="0">
      <alignment horizontal="center"/>
    </xf>
    <xf applyAlignment="1" borderId="52" fillId="2" fontId="11" numFmtId="0" pivotButton="0" quotePrefix="0" xfId="0">
      <alignment horizontal="center"/>
    </xf>
    <xf applyAlignment="1" borderId="174" fillId="2" fontId="11" numFmtId="0" pivotButton="0" quotePrefix="0" xfId="0">
      <alignment horizontal="center"/>
    </xf>
    <xf applyAlignment="1" borderId="28" fillId="2" fontId="11" numFmtId="0" pivotButton="0" quotePrefix="0" xfId="0">
      <alignment horizontal="center"/>
    </xf>
    <xf applyAlignment="1" borderId="20" fillId="2" fontId="11" numFmtId="0" pivotButton="0" quotePrefix="0" xfId="0">
      <alignment horizontal="center"/>
    </xf>
    <xf applyAlignment="1" borderId="141" fillId="15" fontId="6" numFmtId="220" pivotButton="0" quotePrefix="0" xfId="0">
      <alignment horizontal="center"/>
    </xf>
    <xf applyAlignment="1" borderId="138" fillId="15" fontId="6" numFmtId="220" pivotButton="0" quotePrefix="0" xfId="0">
      <alignment horizontal="center"/>
    </xf>
    <xf applyAlignment="1" borderId="90" fillId="2" fontId="24" numFmtId="0" pivotButton="0" quotePrefix="0" xfId="0">
      <alignment horizontal="center"/>
    </xf>
    <xf applyAlignment="1" borderId="5" fillId="2" fontId="24" numFmtId="0" pivotButton="0" quotePrefix="0" xfId="0">
      <alignment horizontal="center"/>
    </xf>
    <xf applyAlignment="1" borderId="4" fillId="2" fontId="24" numFmtId="0" pivotButton="0" quotePrefix="0" xfId="0">
      <alignment horizontal="center"/>
    </xf>
    <xf applyAlignment="1" borderId="6" fillId="2" fontId="24" numFmtId="0" pivotButton="0" quotePrefix="0" xfId="0">
      <alignment horizontal="center"/>
    </xf>
    <xf applyAlignment="1" borderId="139" fillId="15" fontId="6" numFmtId="221" pivotButton="0" quotePrefix="0" xfId="0">
      <alignment horizontal="center"/>
    </xf>
    <xf applyAlignment="1" borderId="145" fillId="15" fontId="6" numFmtId="221" pivotButton="0" quotePrefix="0" xfId="0">
      <alignment horizontal="center"/>
    </xf>
    <xf applyAlignment="1" borderId="14" fillId="2" fontId="17" numFmtId="0" pivotButton="0" quotePrefix="0" xfId="0">
      <alignment horizontal="center"/>
    </xf>
    <xf applyAlignment="1" borderId="18" fillId="2" fontId="17" numFmtId="0" pivotButton="0" quotePrefix="0" xfId="0">
      <alignment horizontal="center"/>
    </xf>
    <xf applyAlignment="1" borderId="69" fillId="16" fontId="17" numFmtId="0" pivotButton="0" quotePrefix="0" xfId="0">
      <alignment horizontal="center"/>
    </xf>
    <xf applyAlignment="1" borderId="70" fillId="16" fontId="17" numFmtId="0" pivotButton="0" quotePrefix="0" xfId="0">
      <alignment horizontal="center"/>
    </xf>
    <xf applyAlignment="1" borderId="186" fillId="16" fontId="17" numFmtId="0" pivotButton="0" quotePrefix="0" xfId="0">
      <alignment horizontal="center"/>
    </xf>
    <xf applyAlignment="1" borderId="136" fillId="15" fontId="6" numFmtId="222" pivotButton="0" quotePrefix="0" xfId="0">
      <alignment horizontal="center"/>
    </xf>
    <xf applyAlignment="1" borderId="154" fillId="15" fontId="6" numFmtId="222" pivotButton="0" quotePrefix="0" xfId="0">
      <alignment horizontal="center"/>
    </xf>
    <xf applyAlignment="1" borderId="22" fillId="15" fontId="6" numFmtId="192" pivotButton="0" quotePrefix="0" xfId="0">
      <alignment horizontal="center"/>
    </xf>
    <xf applyAlignment="1" borderId="221" fillId="15" fontId="6" numFmtId="192" pivotButton="0" quotePrefix="0" xfId="0">
      <alignment horizontal="center"/>
    </xf>
    <xf applyAlignment="1" borderId="147" fillId="15" fontId="6" numFmtId="223" pivotButton="0" quotePrefix="0" xfId="0">
      <alignment horizontal="center"/>
    </xf>
    <xf applyAlignment="1" borderId="160" fillId="15" fontId="6" numFmtId="223" pivotButton="0" quotePrefix="0" xfId="0">
      <alignment horizontal="center"/>
    </xf>
    <xf applyAlignment="1" borderId="67" fillId="25" fontId="17" numFmtId="0" pivotButton="0" quotePrefix="0" xfId="0">
      <alignment horizontal="center"/>
    </xf>
    <xf applyAlignment="1" borderId="30" fillId="25" fontId="17" numFmtId="0" pivotButton="0" quotePrefix="0" xfId="0">
      <alignment horizontal="center"/>
    </xf>
    <xf applyAlignment="1" borderId="132" fillId="0" fontId="4" numFmtId="0" pivotButton="0" quotePrefix="0" xfId="0">
      <alignment horizontal="center"/>
    </xf>
    <xf applyAlignment="1" borderId="130" fillId="0" fontId="4" numFmtId="0" pivotButton="0" quotePrefix="0" xfId="0">
      <alignment horizontal="center"/>
    </xf>
    <xf applyAlignment="1" borderId="131" fillId="0" fontId="4" numFmtId="0" pivotButton="0" quotePrefix="0" xfId="0">
      <alignment horizontal="center"/>
    </xf>
    <xf applyAlignment="1" borderId="62" fillId="2" fontId="11" numFmtId="0" pivotButton="0" quotePrefix="0" xfId="0">
      <alignment horizontal="center"/>
    </xf>
    <xf applyAlignment="1" applyProtection="1" borderId="178" fillId="0" fontId="7" numFmtId="170" pivotButton="0" quotePrefix="0" xfId="0">
      <alignment horizontal="center"/>
      <protection hidden="0" locked="0"/>
    </xf>
    <xf applyAlignment="1" applyProtection="1" borderId="147" fillId="0" fontId="7" numFmtId="170" pivotButton="0" quotePrefix="0" xfId="0">
      <alignment horizontal="center"/>
      <protection hidden="0" locked="0"/>
    </xf>
    <xf applyAlignment="1" borderId="141" fillId="25" fontId="6" numFmtId="2" pivotButton="0" quotePrefix="0" xfId="0">
      <alignment horizontal="center"/>
    </xf>
    <xf applyAlignment="1" borderId="22" fillId="9" fontId="17" numFmtId="219" pivotButton="0" quotePrefix="0" xfId="0">
      <alignment horizontal="center"/>
    </xf>
    <xf applyAlignment="1" borderId="23" fillId="9" fontId="17" numFmtId="219" pivotButton="0" quotePrefix="0" xfId="0">
      <alignment horizontal="center"/>
    </xf>
    <xf applyAlignment="1" borderId="171" fillId="25" fontId="17" numFmtId="0" pivotButton="0" quotePrefix="0" xfId="0">
      <alignment horizontal="center"/>
    </xf>
    <xf applyAlignment="1" borderId="23" fillId="25" fontId="17" numFmtId="0" pivotButton="0" quotePrefix="0" xfId="0">
      <alignment horizontal="center"/>
    </xf>
    <xf applyAlignment="1" borderId="82" fillId="2" fontId="10" numFmtId="0" pivotButton="0" quotePrefix="0" xfId="0">
      <alignment horizontal="center"/>
    </xf>
    <xf applyAlignment="1" borderId="171" fillId="9" fontId="17" numFmtId="0" pivotButton="0" quotePrefix="0" xfId="0">
      <alignment horizontal="center"/>
    </xf>
    <xf applyAlignment="1" borderId="23" fillId="9" fontId="17" numFmtId="0" pivotButton="0" quotePrefix="0" xfId="0">
      <alignment horizontal="center"/>
    </xf>
    <xf applyAlignment="1" borderId="222" fillId="9" fontId="17" numFmtId="0" pivotButton="0" quotePrefix="0" xfId="0">
      <alignment horizontal="center"/>
    </xf>
    <xf applyAlignment="1" borderId="137" fillId="9" fontId="6" numFmtId="170" pivotButton="0" quotePrefix="0" xfId="0">
      <alignment horizontal="center"/>
    </xf>
    <xf applyAlignment="1" borderId="141" fillId="9" fontId="6" numFmtId="170" pivotButton="0" quotePrefix="0" xfId="0">
      <alignment horizontal="center"/>
    </xf>
    <xf applyAlignment="1" borderId="141" fillId="9" fontId="6" numFmtId="2" pivotButton="0" quotePrefix="0" xfId="0">
      <alignment horizontal="center"/>
    </xf>
    <xf applyAlignment="1" applyProtection="1" borderId="140" fillId="8" fontId="47" numFmtId="0" pivotButton="0" quotePrefix="0" xfId="0">
      <alignment horizontal="center"/>
      <protection hidden="0" locked="0"/>
    </xf>
    <xf applyAlignment="1" applyProtection="1" borderId="141" fillId="8" fontId="47" numFmtId="0" pivotButton="0" quotePrefix="0" xfId="0">
      <alignment horizontal="center"/>
      <protection hidden="0" locked="0"/>
    </xf>
    <xf applyAlignment="1" borderId="141" fillId="15" fontId="6" numFmtId="224" pivotButton="0" quotePrefix="0" xfId="0">
      <alignment horizontal="center"/>
    </xf>
    <xf applyAlignment="1" borderId="138" fillId="15" fontId="6" numFmtId="224" pivotButton="0" quotePrefix="0" xfId="0">
      <alignment horizontal="center"/>
    </xf>
    <xf applyAlignment="1" borderId="53" fillId="9" fontId="6" numFmtId="170" pivotButton="0" quotePrefix="0" xfId="0">
      <alignment horizontal="center"/>
    </xf>
    <xf applyAlignment="1" borderId="136" fillId="9" fontId="6" numFmtId="170" pivotButton="0" quotePrefix="0" xfId="0">
      <alignment horizontal="center"/>
    </xf>
    <xf applyAlignment="1" borderId="136" fillId="9" fontId="6" numFmtId="2" pivotButton="0" quotePrefix="0" xfId="0">
      <alignment horizontal="center"/>
    </xf>
    <xf applyAlignment="1" borderId="136" fillId="9" fontId="17" numFmtId="219" pivotButton="0" quotePrefix="0" xfId="0">
      <alignment horizontal="center"/>
    </xf>
    <xf applyAlignment="1" borderId="214" fillId="9" fontId="17" numFmtId="219" pivotButton="0" quotePrefix="0" xfId="0">
      <alignment horizontal="center"/>
    </xf>
    <xf borderId="0" fillId="0" fontId="27" numFmtId="0" pivotButton="0" quotePrefix="0" xfId="1"/>
    <xf applyAlignment="1" borderId="0" fillId="0" fontId="27" numFmtId="0" pivotButton="0" quotePrefix="0" xfId="1">
      <alignment horizontal="center"/>
    </xf>
    <xf applyAlignment="1" borderId="0" fillId="0" fontId="27" numFmtId="0" pivotButton="0" quotePrefix="0" xfId="2">
      <alignment horizontal="left"/>
    </xf>
    <xf applyAlignment="1" borderId="0" fillId="0" fontId="0" numFmtId="0" pivotButton="0" quotePrefix="0" xfId="0">
      <alignment horizontal="center"/>
    </xf>
    <xf applyAlignment="1" borderId="0" fillId="0" fontId="27" numFmtId="0" pivotButton="0" quotePrefix="0" xfId="1">
      <alignment horizontal="left"/>
    </xf>
    <xf applyAlignment="1" borderId="0" fillId="0" fontId="13" numFmtId="0" pivotButton="0" quotePrefix="0" xfId="0">
      <alignment vertical="top"/>
    </xf>
    <xf borderId="33" fillId="0" fontId="20" numFmtId="0" pivotButton="0" quotePrefix="0" xfId="0"/>
    <xf applyAlignment="1" borderId="57" fillId="23" fontId="11" numFmtId="0" pivotButton="0" quotePrefix="0" xfId="0">
      <alignment horizontal="center"/>
    </xf>
    <xf borderId="12" fillId="0" fontId="0" numFmtId="0" pivotButton="0" quotePrefix="0" xfId="0"/>
    <xf borderId="13" fillId="0" fontId="0" numFmtId="0" pivotButton="0" quotePrefix="0" xfId="0"/>
    <xf borderId="275" fillId="0" fontId="0" numFmtId="0" pivotButton="0" quotePrefix="0" xfId="0"/>
    <xf applyAlignment="1" borderId="141" fillId="0" fontId="4" numFmtId="0" pivotButton="0" quotePrefix="0" xfId="0">
      <alignment horizontal="center"/>
    </xf>
    <xf borderId="23" fillId="0" fontId="0" numFmtId="0" pivotButton="0" quotePrefix="0" xfId="0"/>
    <xf borderId="24" fillId="0" fontId="0" numFmtId="0" pivotButton="0" quotePrefix="0" xfId="0"/>
    <xf applyAlignment="1" borderId="68" fillId="24" fontId="10" numFmtId="0" pivotButton="0" quotePrefix="0" xfId="0">
      <alignment horizontal="center"/>
    </xf>
    <xf borderId="173" fillId="0" fontId="0" numFmtId="0" pivotButton="0" quotePrefix="0" xfId="0"/>
    <xf applyAlignment="1" borderId="27" fillId="2" fontId="6" numFmtId="208" pivotButton="0" quotePrefix="0" xfId="0">
      <alignment horizontal="center"/>
    </xf>
    <xf applyAlignment="1" borderId="152" fillId="23" fontId="10" numFmtId="0" pivotButton="0" quotePrefix="0" xfId="0">
      <alignment horizontal="center"/>
    </xf>
    <xf borderId="257" fillId="0" fontId="0" numFmtId="0" pivotButton="0" quotePrefix="0" xfId="0"/>
    <xf applyAlignment="1" borderId="47" fillId="2" fontId="6" numFmtId="0" pivotButton="0" quotePrefix="0" xfId="0">
      <alignment horizontal="center"/>
    </xf>
    <xf borderId="46" fillId="0" fontId="0" numFmtId="0" pivotButton="0" quotePrefix="0" xfId="0"/>
    <xf applyAlignment="1" borderId="63" fillId="2" fontId="11" numFmtId="0" pivotButton="0" quotePrefix="0" xfId="0">
      <alignment horizontal="right"/>
    </xf>
    <xf borderId="52" fillId="0" fontId="0" numFmtId="0" pivotButton="0" quotePrefix="0" xfId="0"/>
    <xf applyAlignment="1" borderId="56" fillId="6" fontId="10" numFmtId="209" pivotButton="0" quotePrefix="0" xfId="0">
      <alignment horizontal="center"/>
    </xf>
    <xf borderId="28" fillId="0" fontId="0" numFmtId="0" pivotButton="0" quotePrefix="0" xfId="0"/>
    <xf applyAlignment="1" borderId="53" fillId="6" fontId="10" numFmtId="210" pivotButton="0" quotePrefix="0" xfId="0">
      <alignment horizontal="center"/>
    </xf>
    <xf borderId="175" fillId="0" fontId="0" numFmtId="0" pivotButton="0" quotePrefix="0" xfId="0"/>
    <xf applyAlignment="1" borderId="55" fillId="6" fontId="6" numFmtId="169" pivotButton="0" quotePrefix="0" xfId="0">
      <alignment horizontal="center"/>
    </xf>
    <xf applyAlignment="1" borderId="56" fillId="6" fontId="6" numFmtId="169" pivotButton="0" quotePrefix="0" xfId="0">
      <alignment horizontal="center"/>
    </xf>
    <xf applyAlignment="1" borderId="11" fillId="6" fontId="6" numFmtId="169" pivotButton="0" quotePrefix="0" xfId="0">
      <alignment horizontal="center"/>
    </xf>
    <xf applyAlignment="1" borderId="57" fillId="6" fontId="6" numFmtId="169" pivotButton="0" quotePrefix="0" xfId="0">
      <alignment horizontal="center"/>
    </xf>
    <xf applyAlignment="1" borderId="58" fillId="6" fontId="6" numFmtId="169" pivotButton="0" quotePrefix="0" xfId="0">
      <alignment horizontal="center"/>
    </xf>
    <xf applyAlignment="1" borderId="172" fillId="2" fontId="13" numFmtId="0" pivotButton="0" quotePrefix="0" xfId="0">
      <alignment horizontal="center"/>
    </xf>
    <xf applyAlignment="1" borderId="64" fillId="6" fontId="10" numFmtId="171" pivotButton="0" quotePrefix="0" xfId="0">
      <alignment horizontal="center" vertical="center"/>
    </xf>
    <xf borderId="62" fillId="0" fontId="0" numFmtId="0" pivotButton="0" quotePrefix="0" xfId="0"/>
    <xf applyAlignment="1" borderId="63" fillId="6" fontId="6" numFmtId="170" pivotButton="0" quotePrefix="0" xfId="0">
      <alignment horizontal="center"/>
    </xf>
    <xf applyAlignment="1" borderId="64" fillId="6" fontId="6" numFmtId="170" pivotButton="0" quotePrefix="0" xfId="0">
      <alignment horizontal="center"/>
    </xf>
    <xf applyAlignment="1" borderId="19" fillId="6" fontId="6" numFmtId="170" pivotButton="0" quotePrefix="0" xfId="0">
      <alignment horizontal="center"/>
    </xf>
    <xf applyAlignment="1" borderId="65" fillId="6" fontId="6" numFmtId="170" pivotButton="0" quotePrefix="0" xfId="0">
      <alignment horizontal="center"/>
    </xf>
    <xf applyAlignment="1" borderId="66" fillId="6" fontId="6" numFmtId="170" pivotButton="0" quotePrefix="0" xfId="0">
      <alignment horizontal="center"/>
    </xf>
    <xf applyAlignment="1" borderId="71" fillId="7" fontId="10" numFmtId="172" pivotButton="0" quotePrefix="0" xfId="0">
      <alignment horizontal="center" vertical="center"/>
    </xf>
    <xf applyAlignment="1" borderId="68" fillId="7" fontId="10" numFmtId="172" pivotButton="0" quotePrefix="0" xfId="0">
      <alignment horizontal="center" vertical="center"/>
    </xf>
    <xf applyAlignment="1" borderId="72" fillId="7" fontId="10" numFmtId="172" pivotButton="0" quotePrefix="0" xfId="0">
      <alignment horizontal="center" vertical="center"/>
    </xf>
    <xf applyAlignment="1" borderId="73" fillId="7" fontId="10" numFmtId="172" pivotButton="0" quotePrefix="0" xfId="0">
      <alignment horizontal="center" vertical="center"/>
    </xf>
    <xf applyAlignment="1" borderId="74" fillId="8" fontId="6" numFmtId="172" pivotButton="0" quotePrefix="0" xfId="0">
      <alignment horizontal="center"/>
    </xf>
    <xf applyAlignment="1" borderId="27" fillId="8" fontId="10" numFmtId="172" pivotButton="0" quotePrefix="0" xfId="0">
      <alignment horizontal="center"/>
    </xf>
    <xf applyAlignment="1" borderId="75" fillId="8" fontId="6" numFmtId="172" pivotButton="0" quotePrefix="0" xfId="0">
      <alignment horizontal="center"/>
    </xf>
    <xf applyAlignment="1" borderId="57" fillId="8" fontId="6" numFmtId="172" pivotButton="0" quotePrefix="0" xfId="0">
      <alignment horizontal="center"/>
    </xf>
    <xf applyAlignment="1" borderId="76" fillId="8" fontId="6" numFmtId="172" pivotButton="0" quotePrefix="0" xfId="0">
      <alignment horizontal="center"/>
    </xf>
    <xf applyAlignment="1" borderId="0" fillId="0" fontId="0" numFmtId="173" pivotButton="0" quotePrefix="0" xfId="0">
      <alignment horizontal="center"/>
    </xf>
    <xf applyAlignment="1" borderId="0" fillId="0" fontId="0" numFmtId="174" pivotButton="0" quotePrefix="0" xfId="0">
      <alignment horizontal="center"/>
    </xf>
    <xf applyAlignment="1" borderId="64" fillId="8" fontId="10" numFmtId="172" pivotButton="0" quotePrefix="0" xfId="0">
      <alignment horizontal="center" vertical="center"/>
    </xf>
    <xf applyAlignment="1" borderId="19" fillId="8" fontId="10" numFmtId="172" pivotButton="0" quotePrefix="0" xfId="0">
      <alignment horizontal="center" vertical="center"/>
    </xf>
    <xf applyAlignment="1" borderId="63" fillId="8" fontId="10" numFmtId="172" pivotButton="0" quotePrefix="0" xfId="0">
      <alignment horizontal="center" vertical="center"/>
    </xf>
    <xf applyAlignment="1" borderId="65" fillId="8" fontId="10" numFmtId="172" pivotButton="0" quotePrefix="0" xfId="0">
      <alignment horizontal="center" vertical="center"/>
    </xf>
    <xf applyAlignment="1" borderId="66" fillId="8" fontId="10" numFmtId="172" pivotButton="0" quotePrefix="0" xfId="0">
      <alignment horizontal="center" vertical="center"/>
    </xf>
    <xf borderId="0" fillId="0" fontId="0" numFmtId="174" pivotButton="0" quotePrefix="0" xfId="0"/>
    <xf applyAlignment="1" borderId="47" fillId="2" fontId="6" numFmtId="175" pivotButton="0" quotePrefix="0" xfId="0">
      <alignment horizontal="center"/>
    </xf>
    <xf applyAlignment="1" borderId="91" fillId="2" fontId="6" numFmtId="175" pivotButton="0" quotePrefix="0" xfId="0">
      <alignment horizontal="center"/>
    </xf>
    <xf applyAlignment="1" borderId="92" fillId="2" fontId="6" numFmtId="175" pivotButton="0" quotePrefix="0" xfId="0">
      <alignment horizontal="center"/>
    </xf>
    <xf applyAlignment="1" borderId="93" fillId="2" fontId="6" numFmtId="175" pivotButton="0" quotePrefix="0" xfId="0">
      <alignment horizontal="center"/>
    </xf>
    <xf applyAlignment="1" borderId="94" fillId="2" fontId="6" numFmtId="175" pivotButton="0" quotePrefix="0" xfId="0">
      <alignment horizontal="center"/>
    </xf>
    <xf applyAlignment="1" borderId="48" fillId="2" fontId="6" numFmtId="175" pivotButton="0" quotePrefix="0" xfId="0">
      <alignment horizontal="center"/>
    </xf>
    <xf applyAlignment="1" borderId="49" fillId="2" fontId="6" numFmtId="175" pivotButton="0" quotePrefix="0" xfId="0">
      <alignment horizontal="center"/>
    </xf>
    <xf applyAlignment="1" borderId="95" fillId="10" fontId="6" numFmtId="170" pivotButton="0" quotePrefix="0" xfId="0">
      <alignment horizontal="center"/>
    </xf>
    <xf applyAlignment="1" borderId="96" fillId="11" fontId="6" numFmtId="170" pivotButton="0" quotePrefix="0" xfId="0">
      <alignment horizontal="center"/>
    </xf>
    <xf applyAlignment="1" borderId="97" fillId="11" fontId="6" numFmtId="170" pivotButton="0" quotePrefix="0" xfId="0">
      <alignment horizontal="center"/>
    </xf>
    <xf applyAlignment="1" borderId="98" fillId="11" fontId="6" numFmtId="170" pivotButton="0" quotePrefix="0" xfId="0">
      <alignment horizontal="center"/>
    </xf>
    <xf applyAlignment="1" borderId="96" fillId="12" fontId="6" numFmtId="170" pivotButton="0" quotePrefix="0" xfId="0">
      <alignment horizontal="center"/>
    </xf>
    <xf applyAlignment="1" borderId="98" fillId="12" fontId="6" numFmtId="170" pivotButton="0" quotePrefix="0" xfId="0">
      <alignment horizontal="center"/>
    </xf>
    <xf applyAlignment="1" borderId="99" fillId="13" fontId="6" numFmtId="170" pivotButton="0" quotePrefix="0" xfId="0">
      <alignment horizontal="center"/>
    </xf>
    <xf applyAlignment="1" borderId="96" fillId="4" fontId="6" numFmtId="170" pivotButton="0" quotePrefix="0" xfId="0">
      <alignment horizontal="center"/>
    </xf>
    <xf applyAlignment="1" borderId="97" fillId="4" fontId="6" numFmtId="170" pivotButton="0" quotePrefix="0" xfId="0">
      <alignment horizontal="center"/>
    </xf>
    <xf applyAlignment="1" borderId="100" fillId="4" fontId="6" numFmtId="170" pivotButton="0" quotePrefix="0" xfId="0">
      <alignment horizontal="center"/>
    </xf>
    <xf applyAlignment="1" borderId="95" fillId="14" fontId="6" numFmtId="170" pivotButton="0" quotePrefix="0" xfId="0">
      <alignment horizontal="center"/>
    </xf>
    <xf applyAlignment="1" borderId="96" fillId="15" fontId="6" numFmtId="170" pivotButton="0" quotePrefix="0" xfId="0">
      <alignment horizontal="center"/>
    </xf>
    <xf applyAlignment="1" borderId="100" fillId="15" fontId="6" numFmtId="170" pivotButton="0" quotePrefix="0" xfId="0">
      <alignment horizontal="center"/>
    </xf>
    <xf applyAlignment="1" borderId="101" fillId="16" fontId="6" numFmtId="170" pivotButton="0" quotePrefix="0" xfId="0">
      <alignment horizontal="center"/>
    </xf>
    <xf applyAlignment="1" borderId="102" fillId="11" fontId="6" numFmtId="170" pivotButton="0" quotePrefix="0" xfId="0">
      <alignment horizontal="center"/>
    </xf>
    <xf applyAlignment="1" borderId="103" fillId="11" fontId="6" numFmtId="170" pivotButton="0" quotePrefix="0" xfId="0">
      <alignment horizontal="center"/>
    </xf>
    <xf applyAlignment="1" borderId="104" fillId="11" fontId="6" numFmtId="170" pivotButton="0" quotePrefix="0" xfId="0">
      <alignment horizontal="center"/>
    </xf>
    <xf applyAlignment="1" borderId="102" fillId="12" fontId="6" numFmtId="170" pivotButton="0" quotePrefix="0" xfId="0">
      <alignment horizontal="center"/>
    </xf>
    <xf applyAlignment="1" borderId="104" fillId="12" fontId="6" numFmtId="170" pivotButton="0" quotePrefix="0" xfId="0">
      <alignment horizontal="center"/>
    </xf>
    <xf applyAlignment="1" borderId="105" fillId="13" fontId="6" numFmtId="170" pivotButton="0" quotePrefix="0" xfId="0">
      <alignment horizontal="center"/>
    </xf>
    <xf applyAlignment="1" borderId="102" fillId="4" fontId="6" numFmtId="170" pivotButton="0" quotePrefix="0" xfId="0">
      <alignment horizontal="center"/>
    </xf>
    <xf applyAlignment="1" borderId="103" fillId="4" fontId="6" numFmtId="170" pivotButton="0" quotePrefix="0" xfId="0">
      <alignment horizontal="center"/>
    </xf>
    <xf applyAlignment="1" borderId="106" fillId="4" fontId="6" numFmtId="170" pivotButton="0" quotePrefix="0" xfId="0">
      <alignment horizontal="center"/>
    </xf>
    <xf applyAlignment="1" borderId="107" fillId="14" fontId="6" numFmtId="170" pivotButton="0" quotePrefix="0" xfId="0">
      <alignment horizontal="center"/>
    </xf>
    <xf applyAlignment="1" borderId="102" fillId="15" fontId="6" numFmtId="170" pivotButton="0" quotePrefix="0" xfId="0">
      <alignment horizontal="center"/>
    </xf>
    <xf applyAlignment="1" borderId="106" fillId="15" fontId="6" numFmtId="170" pivotButton="0" quotePrefix="0" xfId="0">
      <alignment horizontal="center"/>
    </xf>
    <xf applyAlignment="1" borderId="108" fillId="16" fontId="6" numFmtId="170" pivotButton="0" quotePrefix="0" xfId="0">
      <alignment horizontal="center"/>
    </xf>
    <xf borderId="0" fillId="0" fontId="0" numFmtId="170" pivotButton="0" quotePrefix="0" xfId="0"/>
    <xf applyAlignment="1" borderId="0" fillId="0" fontId="0" numFmtId="176" pivotButton="0" quotePrefix="0" xfId="0">
      <alignment horizontal="center"/>
    </xf>
    <xf applyAlignment="1" borderId="0" fillId="0" fontId="0" numFmtId="170" pivotButton="0" quotePrefix="0" xfId="0">
      <alignment horizontal="center"/>
    </xf>
    <xf applyAlignment="1" borderId="109" fillId="10" fontId="6" numFmtId="170" pivotButton="0" quotePrefix="0" xfId="0">
      <alignment horizontal="center"/>
    </xf>
    <xf applyAlignment="1" borderId="110" fillId="11" fontId="6" numFmtId="170" pivotButton="0" quotePrefix="0" xfId="0">
      <alignment horizontal="center"/>
    </xf>
    <xf applyAlignment="1" borderId="111" fillId="11" fontId="6" numFmtId="170" pivotButton="0" quotePrefix="0" xfId="0">
      <alignment horizontal="center"/>
    </xf>
    <xf applyAlignment="1" borderId="112" fillId="11" fontId="6" numFmtId="170" pivotButton="0" quotePrefix="0" xfId="0">
      <alignment horizontal="center"/>
    </xf>
    <xf applyAlignment="1" borderId="110" fillId="12" fontId="6" numFmtId="170" pivotButton="0" quotePrefix="0" xfId="0">
      <alignment horizontal="center"/>
    </xf>
    <xf applyAlignment="1" borderId="112" fillId="12" fontId="6" numFmtId="170" pivotButton="0" quotePrefix="0" xfId="0">
      <alignment horizontal="center"/>
    </xf>
    <xf applyAlignment="1" borderId="78" fillId="13" fontId="6" numFmtId="170" pivotButton="0" quotePrefix="0" xfId="0">
      <alignment horizontal="center"/>
    </xf>
    <xf applyAlignment="1" borderId="110" fillId="4" fontId="6" numFmtId="170" pivotButton="0" quotePrefix="0" xfId="0">
      <alignment horizontal="center"/>
    </xf>
    <xf applyAlignment="1" borderId="111" fillId="4" fontId="6" numFmtId="170" pivotButton="0" quotePrefix="0" xfId="0">
      <alignment horizontal="center"/>
    </xf>
    <xf applyAlignment="1" borderId="113" fillId="4" fontId="6" numFmtId="170" pivotButton="0" quotePrefix="0" xfId="0">
      <alignment horizontal="center"/>
    </xf>
    <xf applyAlignment="1" borderId="77" fillId="14" fontId="6" numFmtId="170" pivotButton="0" quotePrefix="0" xfId="0">
      <alignment horizontal="center"/>
    </xf>
    <xf applyAlignment="1" borderId="110" fillId="15" fontId="6" numFmtId="170" pivotButton="0" quotePrefix="0" xfId="0">
      <alignment horizontal="center"/>
    </xf>
    <xf applyAlignment="1" borderId="79" fillId="16" fontId="6" numFmtId="170" pivotButton="0" quotePrefix="0" xfId="0">
      <alignment horizontal="center"/>
    </xf>
    <xf applyAlignment="1" borderId="0" fillId="0" fontId="0" numFmtId="175" pivotButton="0" quotePrefix="0" xfId="0">
      <alignment horizontal="center"/>
    </xf>
    <xf applyAlignment="1" borderId="56" fillId="10" fontId="6" numFmtId="170" pivotButton="0" quotePrefix="0" xfId="0">
      <alignment horizontal="center"/>
    </xf>
    <xf applyAlignment="1" borderId="114" fillId="11" fontId="6" numFmtId="170" pivotButton="0" quotePrefix="0" xfId="0">
      <alignment horizontal="center"/>
    </xf>
    <xf applyAlignment="1" borderId="115" fillId="11" fontId="6" numFmtId="170" pivotButton="0" quotePrefix="0" xfId="0">
      <alignment horizontal="center"/>
    </xf>
    <xf applyAlignment="1" borderId="116" fillId="11" fontId="6" numFmtId="170" pivotButton="0" quotePrefix="0" xfId="0">
      <alignment horizontal="center"/>
    </xf>
    <xf applyAlignment="1" borderId="114" fillId="12" fontId="6" numFmtId="170" pivotButton="0" quotePrefix="0" xfId="0">
      <alignment horizontal="center"/>
    </xf>
    <xf applyAlignment="1" borderId="116" fillId="12" fontId="6" numFmtId="170" pivotButton="0" quotePrefix="0" xfId="0">
      <alignment horizontal="center"/>
    </xf>
    <xf applyAlignment="1" borderId="55" fillId="13" fontId="6" numFmtId="170" pivotButton="0" quotePrefix="0" xfId="0">
      <alignment horizontal="center"/>
    </xf>
    <xf applyAlignment="1" borderId="114" fillId="4" fontId="6" numFmtId="170" pivotButton="0" quotePrefix="0" xfId="0">
      <alignment horizontal="center"/>
    </xf>
    <xf applyAlignment="1" borderId="115" fillId="4" fontId="6" numFmtId="170" pivotButton="0" quotePrefix="0" xfId="0">
      <alignment horizontal="center"/>
    </xf>
    <xf applyAlignment="1" borderId="117" fillId="4" fontId="6" numFmtId="170" pivotButton="0" quotePrefix="0" xfId="0">
      <alignment horizontal="center"/>
    </xf>
    <xf applyAlignment="1" borderId="56" fillId="14" fontId="6" numFmtId="170" pivotButton="0" quotePrefix="0" xfId="0">
      <alignment horizontal="center"/>
    </xf>
    <xf applyAlignment="1" borderId="114" fillId="15" fontId="6" numFmtId="170" pivotButton="0" quotePrefix="0" xfId="0">
      <alignment horizontal="center"/>
    </xf>
    <xf applyAlignment="1" borderId="117" fillId="15" fontId="6" numFmtId="170" pivotButton="0" quotePrefix="0" xfId="0">
      <alignment horizontal="center"/>
    </xf>
    <xf applyAlignment="1" borderId="57" fillId="16" fontId="6" numFmtId="170" pivotButton="0" quotePrefix="0" xfId="0">
      <alignment horizontal="center"/>
    </xf>
    <xf applyAlignment="1" borderId="107" fillId="10" fontId="6" numFmtId="170" pivotButton="0" quotePrefix="0" xfId="0">
      <alignment horizontal="center"/>
    </xf>
    <xf applyAlignment="1" borderId="118" fillId="15" fontId="6" numFmtId="170" pivotButton="0" quotePrefix="0" xfId="0">
      <alignment horizontal="center"/>
    </xf>
    <xf applyAlignment="1" borderId="119" fillId="4" fontId="6" numFmtId="170" pivotButton="0" quotePrefix="0" xfId="0">
      <alignment horizontal="center"/>
    </xf>
    <xf applyAlignment="1" borderId="120" fillId="4" fontId="6" numFmtId="170" pivotButton="0" quotePrefix="0" xfId="0">
      <alignment horizontal="center"/>
    </xf>
    <xf applyAlignment="1" borderId="64" fillId="14" fontId="6" numFmtId="170" pivotButton="0" quotePrefix="0" xfId="0">
      <alignment horizontal="center"/>
    </xf>
    <xf applyAlignment="1" borderId="121" fillId="15" fontId="6" numFmtId="170" pivotButton="0" quotePrefix="0" xfId="0">
      <alignment horizontal="center"/>
    </xf>
    <xf applyAlignment="1" borderId="122" fillId="15" fontId="6" numFmtId="170" pivotButton="0" quotePrefix="0" xfId="0">
      <alignment horizontal="center"/>
    </xf>
    <xf applyAlignment="1" borderId="65" fillId="16" fontId="6" numFmtId="170" pivotButton="0" quotePrefix="0" xfId="0">
      <alignment horizontal="center"/>
    </xf>
    <xf applyAlignment="1" borderId="77" fillId="10" fontId="6" numFmtId="170" pivotButton="0" quotePrefix="0" xfId="0">
      <alignment horizontal="center"/>
    </xf>
    <xf applyAlignment="1" borderId="112" fillId="4" fontId="6" numFmtId="170" pivotButton="0" quotePrefix="0" xfId="0">
      <alignment horizontal="center"/>
    </xf>
    <xf borderId="0" fillId="0" fontId="23" numFmtId="170" pivotButton="0" quotePrefix="0" xfId="0"/>
    <xf applyAlignment="1" borderId="126" fillId="4" fontId="6" numFmtId="170" pivotButton="0" quotePrefix="0" xfId="0">
      <alignment horizontal="center"/>
    </xf>
    <xf applyAlignment="1" borderId="104" fillId="4" fontId="6" numFmtId="170" pivotButton="0" quotePrefix="0" xfId="0">
      <alignment horizontal="center"/>
    </xf>
    <xf applyAlignment="1" borderId="129" fillId="17" fontId="22" numFmtId="170" pivotButton="0" quotePrefix="0" xfId="0">
      <alignment horizontal="center"/>
    </xf>
    <xf applyAlignment="1" borderId="130" fillId="17" fontId="22" numFmtId="170" pivotButton="0" quotePrefix="0" xfId="0">
      <alignment horizontal="center"/>
    </xf>
    <xf applyAlignment="1" borderId="131" fillId="17" fontId="22" numFmtId="170" pivotButton="0" quotePrefix="0" xfId="0">
      <alignment horizontal="center"/>
    </xf>
    <xf applyAlignment="1" borderId="132" fillId="17" fontId="22" numFmtId="170" pivotButton="0" quotePrefix="0" xfId="0">
      <alignment horizontal="center"/>
    </xf>
    <xf applyAlignment="1" borderId="133" fillId="17" fontId="22" numFmtId="170" pivotButton="0" quotePrefix="0" xfId="0">
      <alignment horizontal="center"/>
    </xf>
    <xf borderId="0" fillId="0" fontId="22" numFmtId="170" pivotButton="0" quotePrefix="0" xfId="0"/>
    <xf applyAlignment="1" applyProtection="1" borderId="148" fillId="0" fontId="0" numFmtId="170" pivotButton="0" quotePrefix="0" xfId="0">
      <alignment horizontal="center"/>
      <protection hidden="0" locked="0"/>
    </xf>
    <xf applyAlignment="1" borderId="255" fillId="18" fontId="4" numFmtId="175" pivotButton="0" quotePrefix="0" xfId="0">
      <alignment horizontal="center"/>
    </xf>
    <xf applyAlignment="1" borderId="210" fillId="18" fontId="4" numFmtId="170" pivotButton="0" quotePrefix="0" xfId="0">
      <alignment horizontal="center"/>
    </xf>
    <xf borderId="0" fillId="0" fontId="4" numFmtId="177" pivotButton="0" quotePrefix="0" xfId="0"/>
    <xf applyAlignment="1" applyProtection="1" borderId="141" fillId="0" fontId="0" numFmtId="170" pivotButton="0" quotePrefix="0" xfId="0">
      <alignment horizontal="center"/>
      <protection hidden="0" locked="0"/>
    </xf>
    <xf applyAlignment="1" borderId="137" fillId="18" fontId="4" numFmtId="175" pivotButton="0" quotePrefix="0" xfId="0">
      <alignment horizontal="center"/>
    </xf>
    <xf applyAlignment="1" borderId="138" fillId="18" fontId="4" numFmtId="170" pivotButton="0" quotePrefix="0" xfId="0">
      <alignment horizontal="center"/>
    </xf>
    <xf applyAlignment="1" borderId="116" fillId="4" fontId="6" numFmtId="170" pivotButton="0" quotePrefix="0" xfId="0">
      <alignment horizontal="center"/>
    </xf>
    <xf applyAlignment="1" applyProtection="1" borderId="139" fillId="0" fontId="0" numFmtId="170" pivotButton="0" quotePrefix="0" xfId="0">
      <alignment horizontal="center"/>
      <protection hidden="0" locked="0"/>
    </xf>
    <xf applyAlignment="1" borderId="144" fillId="18" fontId="4" numFmtId="175" pivotButton="0" quotePrefix="0" xfId="0">
      <alignment horizontal="center"/>
    </xf>
    <xf applyAlignment="1" borderId="145" fillId="18" fontId="4" numFmtId="170" pivotButton="0" quotePrefix="0" xfId="0">
      <alignment horizontal="center"/>
    </xf>
    <xf applyAlignment="1" applyProtection="1" borderId="147" fillId="0" fontId="0" numFmtId="170" pivotButton="0" quotePrefix="0" xfId="0">
      <alignment horizontal="center"/>
      <protection hidden="0" locked="0"/>
    </xf>
    <xf applyAlignment="1" borderId="150" fillId="18" fontId="0" numFmtId="170" pivotButton="0" quotePrefix="0" xfId="0">
      <alignment horizontal="center"/>
    </xf>
    <xf applyAlignment="1" borderId="151" fillId="18" fontId="0" numFmtId="170" pivotButton="0" quotePrefix="0" xfId="0">
      <alignment horizontal="center"/>
    </xf>
    <xf applyAlignment="1" borderId="153" fillId="18" fontId="4" numFmtId="170" pivotButton="0" quotePrefix="0" xfId="0">
      <alignment horizontal="center"/>
    </xf>
    <xf applyAlignment="1" borderId="276" fillId="17" fontId="21" numFmtId="0" pivotButton="0" quotePrefix="0" xfId="0">
      <alignment horizontal="center"/>
    </xf>
    <xf borderId="6" fillId="0" fontId="0" numFmtId="0" pivotButton="0" quotePrefix="0" xfId="0"/>
    <xf borderId="0" fillId="0" fontId="4" numFmtId="178" pivotButton="0" quotePrefix="0" xfId="0"/>
    <xf applyAlignment="1" borderId="155" fillId="11" fontId="6" numFmtId="170" pivotButton="0" quotePrefix="0" xfId="0">
      <alignment horizontal="center"/>
    </xf>
    <xf applyAlignment="1" borderId="156" fillId="11" fontId="6" numFmtId="170" pivotButton="0" quotePrefix="0" xfId="0">
      <alignment horizontal="center"/>
    </xf>
    <xf applyAlignment="1" borderId="157" fillId="11" fontId="6" numFmtId="170" pivotButton="0" quotePrefix="0" xfId="0">
      <alignment horizontal="center"/>
    </xf>
    <xf applyAlignment="1" borderId="155" fillId="12" fontId="6" numFmtId="170" pivotButton="0" quotePrefix="0" xfId="0">
      <alignment horizontal="center"/>
    </xf>
    <xf applyAlignment="1" borderId="157" fillId="12" fontId="6" numFmtId="170" pivotButton="0" quotePrefix="0" xfId="0">
      <alignment horizontal="center"/>
    </xf>
    <xf applyAlignment="1" borderId="158" fillId="13" fontId="6" numFmtId="170" pivotButton="0" quotePrefix="0" xfId="0">
      <alignment horizontal="center"/>
    </xf>
    <xf applyAlignment="1" borderId="155" fillId="4" fontId="6" numFmtId="170" pivotButton="0" quotePrefix="0" xfId="0">
      <alignment horizontal="center"/>
    </xf>
    <xf applyAlignment="1" borderId="159" fillId="4" fontId="6" numFmtId="170" pivotButton="0" quotePrefix="0" xfId="0">
      <alignment horizontal="center"/>
    </xf>
    <xf borderId="180" fillId="0" fontId="0" numFmtId="0" pivotButton="0" quotePrefix="0" xfId="0"/>
    <xf applyAlignment="1" borderId="88" fillId="2" fontId="0" numFmtId="0" pivotButton="0" quotePrefix="0" xfId="0">
      <alignment horizontal="center"/>
    </xf>
    <xf borderId="82" fillId="0" fontId="0" numFmtId="0" pivotButton="0" quotePrefix="0" xfId="0"/>
    <xf borderId="161" fillId="0" fontId="0" numFmtId="0" pivotButton="0" quotePrefix="0" xfId="0"/>
    <xf borderId="285" fillId="0" fontId="0" numFmtId="0" pivotButton="0" quotePrefix="0" xfId="0"/>
    <xf borderId="166" fillId="0" fontId="0" numFmtId="0" pivotButton="0" quotePrefix="0" xfId="0"/>
    <xf applyAlignment="1" borderId="286" fillId="2" fontId="17" numFmtId="0" pivotButton="0" quotePrefix="0" xfId="0">
      <alignment horizontal="center"/>
    </xf>
    <xf borderId="43" fillId="0" fontId="0" numFmtId="0" pivotButton="0" quotePrefix="0" xfId="0"/>
    <xf applyAlignment="1" borderId="129" fillId="19" fontId="17" numFmtId="0" pivotButton="0" quotePrefix="0" xfId="0">
      <alignment horizontal="center"/>
    </xf>
    <xf borderId="169" fillId="0" fontId="0" numFmtId="0" pivotButton="0" quotePrefix="0" xfId="0"/>
    <xf applyAlignment="1" borderId="130" fillId="19" fontId="26" numFmtId="179" pivotButton="0" quotePrefix="0" xfId="0">
      <alignment horizontal="center"/>
    </xf>
    <xf applyAlignment="1" borderId="130" fillId="19" fontId="6" numFmtId="179" pivotButton="0" quotePrefix="0" xfId="0">
      <alignment horizontal="center"/>
    </xf>
    <xf applyAlignment="1" borderId="133" fillId="19" fontId="6" numFmtId="179" pivotButton="0" quotePrefix="0" xfId="0">
      <alignment horizontal="center"/>
    </xf>
    <xf applyAlignment="1" borderId="68" fillId="5" fontId="28" numFmtId="0" pivotButton="0" quotePrefix="0" xfId="1">
      <alignment horizontal="center"/>
    </xf>
    <xf applyAlignment="1" borderId="135" fillId="13" fontId="17" numFmtId="0" pivotButton="0" quotePrefix="0" xfId="0">
      <alignment horizontal="center"/>
    </xf>
    <xf applyAlignment="1" applyProtection="1" borderId="176" fillId="0" fontId="7" numFmtId="180" pivotButton="0" quotePrefix="0" xfId="0">
      <alignment horizontal="center"/>
      <protection hidden="0" locked="0"/>
    </xf>
    <xf applyAlignment="1" borderId="146" fillId="13" fontId="17" numFmtId="0" pivotButton="0" quotePrefix="0" xfId="0">
      <alignment horizontal="center"/>
    </xf>
    <xf applyAlignment="1" borderId="147" fillId="13" fontId="26" numFmtId="170" pivotButton="0" quotePrefix="0" xfId="0">
      <alignment horizontal="center"/>
    </xf>
    <xf applyAlignment="1" borderId="147" fillId="13" fontId="6" numFmtId="170" pivotButton="0" quotePrefix="0" xfId="0">
      <alignment horizontal="center"/>
    </xf>
    <xf applyAlignment="1" borderId="160" fillId="13" fontId="6" numFmtId="170" pivotButton="0" quotePrefix="0" xfId="0">
      <alignment horizontal="center"/>
    </xf>
    <xf applyAlignment="1" applyProtection="1" borderId="181" fillId="0" fontId="7" numFmtId="180" pivotButton="0" quotePrefix="0" xfId="0">
      <alignment horizontal="center"/>
      <protection hidden="0" locked="0"/>
    </xf>
    <xf applyAlignment="1" borderId="185" fillId="11" fontId="6" numFmtId="181" pivotButton="0" quotePrefix="0" xfId="0">
      <alignment horizontal="center"/>
    </xf>
    <xf applyAlignment="1" borderId="172" fillId="0" fontId="58" numFmtId="169" pivotButton="0" quotePrefix="0" xfId="0">
      <alignment horizontal="center"/>
    </xf>
    <xf applyAlignment="1" borderId="73" fillId="2" fontId="6" numFmtId="0" pivotButton="0" quotePrefix="0" xfId="0">
      <alignment horizontal="center"/>
    </xf>
    <xf borderId="186" fillId="0" fontId="0" numFmtId="0" pivotButton="0" quotePrefix="0" xfId="0"/>
    <xf applyAlignment="1" borderId="190" fillId="11" fontId="6" numFmtId="181" pivotButton="0" quotePrefix="0" xfId="0">
      <alignment horizontal="center"/>
    </xf>
    <xf applyAlignment="1" borderId="129" fillId="2" fontId="24" numFmtId="21" pivotButton="0" quotePrefix="0" xfId="0">
      <alignment horizontal="center"/>
    </xf>
    <xf applyAlignment="1" borderId="129" fillId="2" fontId="17" numFmtId="0" pivotButton="0" quotePrefix="0" xfId="0">
      <alignment horizontal="center"/>
    </xf>
    <xf applyAlignment="1" borderId="135" fillId="16" fontId="11" numFmtId="211" pivotButton="0" quotePrefix="0" xfId="0">
      <alignment horizontal="center"/>
    </xf>
    <xf applyAlignment="1" borderId="140" fillId="15" fontId="29" numFmtId="212" pivotButton="0" quotePrefix="0" xfId="0">
      <alignment horizontal="center"/>
    </xf>
    <xf applyAlignment="1" borderId="211" fillId="13" fontId="11" numFmtId="213" pivotButton="0" quotePrefix="0" xfId="0">
      <alignment horizontal="center"/>
    </xf>
    <xf borderId="40" fillId="0" fontId="0" numFmtId="0" pivotButton="0" quotePrefix="0" xfId="0"/>
    <xf applyAlignment="1" borderId="238" fillId="16" fontId="11" numFmtId="214" pivotButton="0" quotePrefix="0" xfId="0">
      <alignment horizontal="center"/>
    </xf>
    <xf borderId="259" fillId="0" fontId="0" numFmtId="0" pivotButton="0" quotePrefix="0" xfId="0"/>
    <xf applyAlignment="1" borderId="140" fillId="15" fontId="11" numFmtId="215" pivotButton="0" quotePrefix="0" xfId="0">
      <alignment horizontal="center"/>
    </xf>
    <xf applyAlignment="1" borderId="146" fillId="13" fontId="11" numFmtId="216" pivotButton="0" quotePrefix="0" xfId="0">
      <alignment horizontal="center"/>
    </xf>
    <xf applyAlignment="1" borderId="73" fillId="2" fontId="30" numFmtId="0" pivotButton="0" quotePrefix="0" xfId="0">
      <alignment horizontal="center"/>
    </xf>
    <xf applyAlignment="1" borderId="58" fillId="9" fontId="11" numFmtId="182" pivotButton="0" quotePrefix="0" xfId="0">
      <alignment horizontal="center"/>
    </xf>
    <xf applyAlignment="1" borderId="192" fillId="9" fontId="11" numFmtId="183" pivotButton="0" quotePrefix="0" xfId="0">
      <alignment horizontal="center"/>
    </xf>
    <xf applyAlignment="1" borderId="130" fillId="2" fontId="13" numFmtId="179" pivotButton="0" quotePrefix="0" xfId="0">
      <alignment horizontal="center"/>
    </xf>
    <xf applyAlignment="1" borderId="130" fillId="2" fontId="10" numFmtId="179" pivotButton="0" quotePrefix="0" xfId="0">
      <alignment horizontal="center"/>
    </xf>
    <xf applyAlignment="1" borderId="133" fillId="2" fontId="10" numFmtId="179" pivotButton="0" quotePrefix="0" xfId="0">
      <alignment horizontal="center"/>
    </xf>
    <xf applyAlignment="1" borderId="193" fillId="9" fontId="11" numFmtId="184" pivotButton="0" quotePrefix="0" xfId="0">
      <alignment horizontal="center"/>
    </xf>
    <xf applyAlignment="1" borderId="135" fillId="10" fontId="17" numFmtId="0" pivotButton="0" quotePrefix="0" xfId="0">
      <alignment horizontal="center"/>
    </xf>
    <xf applyAlignment="1" borderId="136" fillId="10" fontId="10" numFmtId="170" pivotButton="0" quotePrefix="0" xfId="0">
      <alignment horizontal="center"/>
    </xf>
    <xf applyAlignment="1" borderId="154" fillId="10" fontId="10" numFmtId="170" pivotButton="0" quotePrefix="0" xfId="0">
      <alignment horizontal="center"/>
    </xf>
    <xf applyAlignment="1" borderId="66" fillId="9" fontId="11" numFmtId="185" pivotButton="0" quotePrefix="0" xfId="0">
      <alignment horizontal="center"/>
    </xf>
    <xf applyAlignment="1" borderId="146" fillId="10" fontId="17" numFmtId="0" pivotButton="0" quotePrefix="0" xfId="0">
      <alignment horizontal="center"/>
    </xf>
    <xf applyAlignment="1" applyProtection="1" borderId="73" fillId="0" fontId="33" numFmtId="186" pivotButton="0" quotePrefix="0" xfId="0">
      <alignment horizontal="center"/>
      <protection hidden="0" locked="0"/>
    </xf>
    <xf applyAlignment="1" borderId="73" fillId="0" fontId="10" numFmtId="0" pivotButton="0" quotePrefix="0" xfId="0">
      <alignment horizontal="center"/>
    </xf>
    <xf applyAlignment="1" borderId="198" fillId="11" fontId="6" numFmtId="181" pivotButton="0" quotePrefix="0" xfId="0">
      <alignment horizontal="center"/>
    </xf>
    <xf applyAlignment="1" applyProtection="1" borderId="199" fillId="0" fontId="7" numFmtId="187" pivotButton="0" quotePrefix="0" xfId="0">
      <alignment horizontal="center"/>
      <protection hidden="0" locked="0"/>
    </xf>
    <xf applyAlignment="1" borderId="220" fillId="2" fontId="11" numFmtId="0" pivotButton="0" quotePrefix="0" xfId="0">
      <alignment horizontal="center"/>
    </xf>
    <xf borderId="200" fillId="0" fontId="0" numFmtId="0" pivotButton="0" quotePrefix="0" xfId="0"/>
    <xf applyAlignment="1" borderId="204" fillId="2" fontId="36" numFmtId="0" pivotButton="0" quotePrefix="0" xfId="0">
      <alignment horizontal="center"/>
    </xf>
    <xf applyAlignment="1" borderId="88" fillId="9" fontId="24" numFmtId="182" pivotButton="0" quotePrefix="0" xfId="0">
      <alignment horizontal="center"/>
    </xf>
    <xf applyAlignment="1" borderId="283" fillId="2" fontId="11" numFmtId="0" pivotButton="0" quotePrefix="0" xfId="0">
      <alignment horizontal="center"/>
    </xf>
    <xf applyAlignment="1" applyProtection="1" borderId="130" fillId="2" fontId="39" numFmtId="1" pivotButton="0" quotePrefix="0" xfId="1">
      <alignment horizontal="center"/>
      <protection hidden="0" locked="0"/>
    </xf>
    <xf applyAlignment="1" borderId="276" fillId="2" fontId="17" numFmtId="0" pivotButton="0" quotePrefix="0" xfId="0">
      <alignment horizontal="center"/>
    </xf>
    <xf applyAlignment="1" applyProtection="1" borderId="72" fillId="0" fontId="40" numFmtId="21" pivotButton="0" quotePrefix="0" xfId="0">
      <alignment horizontal="center" vertical="center"/>
      <protection hidden="0" locked="0"/>
    </xf>
    <xf applyAlignment="1" borderId="59" fillId="7" fontId="24" numFmtId="188" pivotButton="0" quotePrefix="0" xfId="0">
      <alignment horizontal="center"/>
    </xf>
    <xf borderId="206" fillId="0" fontId="0" numFmtId="0" pivotButton="0" quotePrefix="0" xfId="0"/>
    <xf borderId="67" fillId="7" fontId="41" numFmtId="188" pivotButton="0" quotePrefix="0" xfId="0"/>
    <xf applyAlignment="1" borderId="129" fillId="7" fontId="11" numFmtId="0" pivotButton="0" quotePrefix="0" xfId="0">
      <alignment horizontal="center"/>
    </xf>
    <xf borderId="207" fillId="0" fontId="0" numFmtId="0" pivotButton="0" quotePrefix="0" xfId="0"/>
    <xf borderId="9" fillId="0" fontId="0" numFmtId="0" pivotButton="0" quotePrefix="0" xfId="0"/>
    <xf applyAlignment="1" borderId="208" fillId="11" fontId="13" numFmtId="189" pivotButton="0" quotePrefix="0" xfId="0">
      <alignment horizontal="center"/>
    </xf>
    <xf applyAlignment="1" borderId="66" fillId="8" fontId="10" numFmtId="0" pivotButton="0" quotePrefix="0" xfId="0">
      <alignment horizontal="center"/>
    </xf>
    <xf borderId="21" fillId="0" fontId="0" numFmtId="0" pivotButton="0" quotePrefix="0" xfId="0"/>
    <xf applyAlignment="1" borderId="208" fillId="11" fontId="13" numFmtId="207" pivotButton="0" quotePrefix="0" xfId="0">
      <alignment horizontal="center" vertical="center"/>
    </xf>
    <xf applyAlignment="1" borderId="282" fillId="8" fontId="10" numFmtId="0" pivotButton="0" quotePrefix="0" xfId="0">
      <alignment horizontal="center"/>
    </xf>
    <xf borderId="264" fillId="0" fontId="0" numFmtId="0" pivotButton="0" quotePrefix="0" xfId="0"/>
    <xf applyAlignment="1" borderId="73" fillId="2" fontId="0" numFmtId="0" pivotButton="0" quotePrefix="0" xfId="0">
      <alignment horizontal="center"/>
    </xf>
    <xf applyAlignment="1" borderId="145" fillId="11" fontId="13" numFmtId="207" pivotButton="0" quotePrefix="0" xfId="0">
      <alignment horizontal="center" vertical="center"/>
    </xf>
    <xf applyAlignment="1" applyProtection="1" borderId="211" fillId="0" fontId="7" numFmtId="170" pivotButton="0" quotePrefix="0" xfId="0">
      <alignment horizontal="center"/>
      <protection hidden="0" locked="0"/>
    </xf>
    <xf applyAlignment="1" borderId="73" fillId="2" fontId="24" numFmtId="0" pivotButton="0" quotePrefix="0" xfId="0">
      <alignment horizontal="center"/>
    </xf>
    <xf applyAlignment="1" borderId="276" fillId="2" fontId="11" numFmtId="0" pivotButton="0" quotePrefix="0" xfId="0">
      <alignment horizontal="center"/>
    </xf>
    <xf applyAlignment="1" borderId="169" fillId="2" fontId="0" numFmtId="170" pivotButton="0" quotePrefix="0" xfId="0">
      <alignment horizontal="left"/>
    </xf>
    <xf applyAlignment="1" borderId="130" fillId="20" fontId="6" numFmtId="170" pivotButton="0" quotePrefix="0" xfId="0">
      <alignment horizontal="center"/>
    </xf>
    <xf applyAlignment="1" borderId="203" fillId="20" fontId="6" numFmtId="170" pivotButton="0" quotePrefix="0" xfId="0">
      <alignment horizontal="center"/>
    </xf>
    <xf applyAlignment="1" borderId="260" fillId="20" fontId="6" numFmtId="170" pivotButton="0" quotePrefix="0" xfId="0">
      <alignment horizontal="center"/>
    </xf>
    <xf applyAlignment="1" borderId="169" fillId="20" fontId="6" numFmtId="170" pivotButton="0" quotePrefix="0" xfId="0">
      <alignment horizontal="center"/>
    </xf>
    <xf applyAlignment="1" borderId="135" fillId="14" fontId="11" numFmtId="0" pivotButton="0" quotePrefix="0" xfId="0">
      <alignment horizontal="center"/>
    </xf>
    <xf applyAlignment="1" borderId="148" fillId="14" fontId="6" numFmtId="170" pivotButton="0" quotePrefix="0" xfId="0">
      <alignment horizontal="center"/>
    </xf>
    <xf applyAlignment="1" borderId="209" fillId="14" fontId="6" numFmtId="170" pivotButton="0" quotePrefix="0" xfId="0">
      <alignment horizontal="center"/>
    </xf>
    <xf applyAlignment="1" borderId="261" fillId="14" fontId="24" numFmtId="170" pivotButton="0" quotePrefix="0" xfId="0">
      <alignment horizontal="center"/>
    </xf>
    <xf applyAlignment="1" borderId="264" fillId="14" fontId="6" numFmtId="170" pivotButton="0" quotePrefix="0" xfId="0">
      <alignment horizontal="center"/>
    </xf>
    <xf applyAlignment="1" borderId="210" fillId="14" fontId="6" numFmtId="170" pivotButton="0" quotePrefix="0" xfId="0">
      <alignment horizontal="center"/>
    </xf>
    <xf applyAlignment="1" applyProtection="1" borderId="146" fillId="0" fontId="7" numFmtId="170" pivotButton="0" quotePrefix="0" xfId="0">
      <alignment horizontal="center"/>
      <protection hidden="0" locked="0"/>
    </xf>
    <xf applyAlignment="1" borderId="81" fillId="21" fontId="24" numFmtId="190" pivotButton="0" quotePrefix="0" xfId="0">
      <alignment horizontal="center"/>
    </xf>
    <xf applyProtection="1" borderId="161" fillId="21" fontId="44" numFmtId="190" pivotButton="0" quotePrefix="0" xfId="0">
      <protection hidden="0" locked="0"/>
    </xf>
    <xf applyAlignment="1" borderId="146" fillId="14" fontId="11" numFmtId="0" pivotButton="0" quotePrefix="0" xfId="0">
      <alignment horizontal="center"/>
    </xf>
    <xf applyAlignment="1" borderId="147" fillId="14" fontId="6" numFmtId="181" pivotButton="0" quotePrefix="0" xfId="0">
      <alignment horizontal="center"/>
    </xf>
    <xf applyAlignment="1" borderId="177" fillId="14" fontId="6" numFmtId="181" pivotButton="0" quotePrefix="0" xfId="0">
      <alignment horizontal="center"/>
    </xf>
    <xf applyAlignment="1" borderId="263" fillId="14" fontId="24" numFmtId="181" pivotButton="0" quotePrefix="0" xfId="0">
      <alignment horizontal="center"/>
    </xf>
    <xf applyAlignment="1" borderId="180" fillId="14" fontId="6" numFmtId="181" pivotButton="0" quotePrefix="0" xfId="0">
      <alignment horizontal="center"/>
    </xf>
    <xf applyAlignment="1" borderId="281" fillId="0" fontId="10" numFmtId="0" pivotButton="0" quotePrefix="0" xfId="0">
      <alignment horizontal="center" vertical="top"/>
    </xf>
    <xf borderId="32" fillId="0" fontId="0" numFmtId="0" pivotButton="0" quotePrefix="0" xfId="0"/>
    <xf applyAlignment="1" borderId="129" fillId="2" fontId="0" numFmtId="0" pivotButton="0" quotePrefix="0" xfId="0">
      <alignment horizontal="center"/>
    </xf>
    <xf applyAlignment="1" applyProtection="1" borderId="70" fillId="0" fontId="7" numFmtId="172" pivotButton="0" quotePrefix="0" xfId="0">
      <alignment horizontal="center"/>
      <protection hidden="0" locked="0"/>
    </xf>
    <xf applyAlignment="1" borderId="143" fillId="8" fontId="10" numFmtId="217" pivotButton="0" quotePrefix="0" xfId="0">
      <alignment horizontal="center"/>
    </xf>
    <xf borderId="128" fillId="0" fontId="0" numFmtId="0" pivotButton="0" quotePrefix="0" xfId="0"/>
    <xf applyAlignment="1" borderId="133" fillId="11" fontId="6" numFmtId="181" pivotButton="0" quotePrefix="0" xfId="0">
      <alignment horizontal="center" vertical="center"/>
    </xf>
    <xf applyAlignment="1" applyProtection="1" borderId="22" fillId="0" fontId="7" numFmtId="170" pivotButton="0" quotePrefix="0" xfId="0">
      <alignment horizontal="center"/>
      <protection hidden="0" locked="0"/>
    </xf>
    <xf borderId="208" fillId="0" fontId="0" numFmtId="0" pivotButton="0" quotePrefix="0" xfId="0"/>
    <xf applyAlignment="1" borderId="59" fillId="8" fontId="13" numFmtId="206" pivotButton="0" quotePrefix="0" xfId="0">
      <alignment horizontal="center" vertical="center"/>
    </xf>
    <xf applyAlignment="1" borderId="20" fillId="8" fontId="13" numFmtId="191" pivotButton="0" quotePrefix="0" xfId="0">
      <alignment horizontal="left"/>
    </xf>
    <xf borderId="265" fillId="0" fontId="0" numFmtId="0" pivotButton="0" quotePrefix="0" xfId="0"/>
    <xf applyAlignment="1" borderId="160" fillId="14" fontId="6" numFmtId="192" pivotButton="0" quotePrefix="0" xfId="0">
      <alignment horizontal="center"/>
    </xf>
    <xf applyAlignment="1" applyProtection="1" borderId="40" fillId="0" fontId="7" numFmtId="170" pivotButton="0" quotePrefix="0" xfId="0">
      <alignment horizontal="center"/>
      <protection hidden="0" locked="0"/>
    </xf>
    <xf applyAlignment="1" borderId="42" fillId="14" fontId="6" numFmtId="193" pivotButton="0" quotePrefix="0" xfId="0">
      <alignment horizontal="center"/>
    </xf>
    <xf applyAlignment="1" borderId="34" fillId="2" fontId="11" numFmtId="0" pivotButton="0" quotePrefix="0" xfId="0">
      <alignment horizontal="center"/>
    </xf>
    <xf applyAlignment="1" borderId="280" fillId="2" fontId="11" numFmtId="0" pivotButton="0" quotePrefix="0" xfId="0">
      <alignment horizontal="center"/>
    </xf>
    <xf applyAlignment="1" borderId="16" fillId="2" fontId="11" numFmtId="0" pivotButton="0" quotePrefix="0" xfId="0">
      <alignment horizontal="center"/>
    </xf>
    <xf borderId="218" fillId="0" fontId="0" numFmtId="0" pivotButton="0" quotePrefix="0" xfId="0"/>
    <xf applyAlignment="1" borderId="279" fillId="2" fontId="14" numFmtId="0" pivotButton="0" quotePrefix="0" xfId="0">
      <alignment horizontal="center"/>
    </xf>
    <xf applyAlignment="1" applyProtection="1" borderId="139" fillId="0" fontId="7" numFmtId="194" pivotButton="0" quotePrefix="0" xfId="0">
      <alignment horizontal="center"/>
      <protection hidden="0" locked="0"/>
    </xf>
    <xf applyAlignment="1" borderId="145" fillId="11" fontId="6" numFmtId="181" pivotButton="0" quotePrefix="0" xfId="0">
      <alignment horizontal="center"/>
    </xf>
    <xf applyAlignment="1" applyProtection="1" borderId="147" fillId="0" fontId="7" numFmtId="180" pivotButton="0" quotePrefix="0" xfId="0">
      <alignment horizontal="center"/>
      <protection hidden="0" locked="0"/>
    </xf>
    <xf applyAlignment="1" borderId="172" fillId="5" fontId="10" numFmtId="170" pivotButton="0" quotePrefix="0" xfId="0">
      <alignment horizontal="center" vertical="center"/>
    </xf>
    <xf applyAlignment="1" borderId="56" fillId="11" fontId="11" numFmtId="0" pivotButton="0" quotePrefix="0" xfId="0">
      <alignment horizontal="right"/>
    </xf>
    <xf applyAlignment="1" borderId="53" fillId="11" fontId="6" numFmtId="170" pivotButton="0" quotePrefix="0" xfId="0">
      <alignment horizontal="center"/>
    </xf>
    <xf applyAlignment="1" borderId="136" fillId="11" fontId="6" numFmtId="170" pivotButton="0" quotePrefix="0" xfId="0">
      <alignment horizontal="center"/>
    </xf>
    <xf applyAlignment="1" borderId="214" fillId="11" fontId="6" numFmtId="170" pivotButton="0" quotePrefix="0" xfId="0">
      <alignment horizontal="center"/>
    </xf>
    <xf applyAlignment="1" borderId="158" fillId="5" fontId="10" numFmtId="170" pivotButton="0" quotePrefix="0" xfId="0">
      <alignment horizontal="center" vertical="center"/>
    </xf>
    <xf applyAlignment="1" borderId="77" fillId="11" fontId="11" numFmtId="0" pivotButton="0" quotePrefix="0" xfId="0">
      <alignment horizontal="right"/>
    </xf>
    <xf borderId="266" fillId="0" fontId="0" numFmtId="0" pivotButton="0" quotePrefix="0" xfId="0"/>
    <xf applyAlignment="1" borderId="178" fillId="11" fontId="6" numFmtId="170" pivotButton="0" quotePrefix="0" xfId="0">
      <alignment horizontal="center"/>
    </xf>
    <xf applyAlignment="1" borderId="147" fillId="11" fontId="6" numFmtId="170" pivotButton="0" quotePrefix="0" xfId="0">
      <alignment horizontal="center"/>
    </xf>
    <xf applyAlignment="1" applyProtection="1" borderId="215" fillId="0" fontId="7" numFmtId="180" pivotButton="0" quotePrefix="0" xfId="0">
      <alignment horizontal="center"/>
      <protection hidden="0" locked="0"/>
    </xf>
    <xf applyAlignment="1" borderId="276" fillId="2" fontId="24" numFmtId="0" pivotButton="0" quotePrefix="0" xfId="0">
      <alignment horizontal="center"/>
    </xf>
    <xf applyAlignment="1" borderId="76" fillId="16" fontId="17" numFmtId="0" pivotButton="0" quotePrefix="0" xfId="0">
      <alignment horizontal="center"/>
    </xf>
    <xf applyAlignment="1" borderId="71" fillId="2" fontId="0" numFmtId="0" pivotButton="0" quotePrefix="0" xfId="0">
      <alignment horizontal="center"/>
    </xf>
    <xf applyAlignment="1" borderId="276" fillId="2" fontId="17" numFmtId="21" pivotButton="0" quotePrefix="0" xfId="0">
      <alignment horizontal="center"/>
    </xf>
    <xf applyAlignment="1" applyProtection="1" borderId="135" fillId="0" fontId="46" numFmtId="195" pivotButton="0" quotePrefix="0" xfId="0">
      <alignment horizontal="center"/>
      <protection hidden="0" locked="0"/>
    </xf>
    <xf applyAlignment="1" borderId="136" fillId="15" fontId="6" numFmtId="218" pivotButton="0" quotePrefix="0" xfId="0">
      <alignment horizontal="center"/>
    </xf>
    <xf applyAlignment="1" borderId="53" fillId="9" fontId="6" numFmtId="170" pivotButton="0" quotePrefix="0" xfId="0">
      <alignment horizontal="center"/>
    </xf>
    <xf applyAlignment="1" borderId="136" fillId="9" fontId="17" numFmtId="219" pivotButton="0" quotePrefix="0" xfId="0">
      <alignment horizontal="center"/>
    </xf>
    <xf applyAlignment="1" applyProtection="1" borderId="182" fillId="0" fontId="46" numFmtId="196" pivotButton="0" quotePrefix="0" xfId="0">
      <alignment horizontal="center"/>
      <protection hidden="0" locked="0"/>
    </xf>
    <xf applyAlignment="1" borderId="138" fillId="15" fontId="6" numFmtId="193" pivotButton="0" quotePrefix="0" xfId="0">
      <alignment horizontal="center"/>
    </xf>
    <xf borderId="221" fillId="0" fontId="0" numFmtId="0" pivotButton="0" quotePrefix="0" xfId="0"/>
    <xf applyAlignment="1" borderId="105" fillId="9" fontId="17" numFmtId="0" pivotButton="0" quotePrefix="0" xfId="0">
      <alignment horizontal="center"/>
    </xf>
    <xf borderId="222" fillId="0" fontId="0" numFmtId="0" pivotButton="0" quotePrefix="0" xfId="0"/>
    <xf applyAlignment="1" borderId="137" fillId="9" fontId="6" numFmtId="170" pivotButton="0" quotePrefix="0" xfId="0">
      <alignment horizontal="center"/>
    </xf>
    <xf applyAlignment="1" borderId="22" fillId="9" fontId="17" numFmtId="219" pivotButton="0" quotePrefix="0" xfId="0">
      <alignment horizontal="center"/>
    </xf>
    <xf applyAlignment="1" applyProtection="1" borderId="140" fillId="0" fontId="46" numFmtId="197" pivotButton="0" quotePrefix="0" xfId="0">
      <alignment horizontal="center"/>
      <protection hidden="0" locked="0"/>
    </xf>
    <xf applyAlignment="1" borderId="141" fillId="15" fontId="6" numFmtId="224" pivotButton="0" quotePrefix="0" xfId="0">
      <alignment horizontal="center"/>
    </xf>
    <xf applyAlignment="1" borderId="277" fillId="9" fontId="17" numFmtId="0" pivotButton="0" quotePrefix="0" xfId="0">
      <alignment horizontal="center"/>
    </xf>
    <xf borderId="268" fillId="0" fontId="0" numFmtId="0" pivotButton="0" quotePrefix="0" xfId="0"/>
    <xf borderId="269" fillId="0" fontId="0" numFmtId="0" pivotButton="0" quotePrefix="0" xfId="0"/>
    <xf applyAlignment="1" applyProtection="1" borderId="270" fillId="0" fontId="7" numFmtId="170" pivotButton="0" quotePrefix="0" xfId="0">
      <alignment horizontal="center"/>
      <protection hidden="0" locked="0"/>
    </xf>
    <xf borderId="278" fillId="0" fontId="0" numFmtId="0" pivotButton="0" quotePrefix="0" xfId="0"/>
    <xf applyAlignment="1" borderId="272" fillId="9" fontId="17" numFmtId="219" pivotButton="0" quotePrefix="0" xfId="0">
      <alignment horizontal="center"/>
    </xf>
    <xf applyAlignment="1" applyProtection="1" borderId="146" fillId="0" fontId="46" numFmtId="198" pivotButton="0" quotePrefix="0" xfId="0">
      <alignment horizontal="center"/>
      <protection hidden="0" locked="0"/>
    </xf>
    <xf applyAlignment="1" borderId="147" fillId="15" fontId="6" numFmtId="223" pivotButton="0" quotePrefix="0" xfId="0">
      <alignment horizontal="center"/>
    </xf>
    <xf applyAlignment="1" applyProtection="1" borderId="255" fillId="0" fontId="7" numFmtId="170" pivotButton="0" quotePrefix="0" xfId="0">
      <alignment horizontal="center"/>
      <protection hidden="0" locked="0"/>
    </xf>
    <xf applyAlignment="1" borderId="209" fillId="9" fontId="17" numFmtId="219" pivotButton="0" quotePrefix="0" xfId="0">
      <alignment horizontal="center"/>
    </xf>
    <xf applyAlignment="1" applyProtection="1" borderId="178" fillId="0" fontId="7" numFmtId="170" pivotButton="0" quotePrefix="0" xfId="0">
      <alignment horizontal="center"/>
      <protection hidden="0" locked="0"/>
    </xf>
    <xf applyAlignment="1" applyProtection="1" borderId="135" fillId="0" fontId="46" numFmtId="199" pivotButton="0" quotePrefix="0" xfId="0">
      <alignment horizontal="center"/>
      <protection hidden="0" locked="0"/>
    </xf>
    <xf applyAlignment="1" borderId="136" fillId="15" fontId="6" numFmtId="222" pivotButton="0" quotePrefix="0" xfId="0">
      <alignment horizontal="center"/>
    </xf>
    <xf applyAlignment="1" applyProtection="1" borderId="140" fillId="0" fontId="46" numFmtId="200" pivotButton="0" quotePrefix="0" xfId="0">
      <alignment horizontal="center"/>
      <protection hidden="0" locked="0"/>
    </xf>
    <xf applyAlignment="1" borderId="138" fillId="15" fontId="6" numFmtId="192" pivotButton="0" quotePrefix="0" xfId="0">
      <alignment horizontal="center"/>
    </xf>
    <xf applyAlignment="1" applyProtection="1" borderId="140" fillId="0" fontId="46" numFmtId="201" pivotButton="0" quotePrefix="0" xfId="0">
      <alignment horizontal="center"/>
      <protection hidden="0" locked="0"/>
    </xf>
    <xf applyAlignment="1" borderId="141" fillId="15" fontId="6" numFmtId="220" pivotButton="0" quotePrefix="0" xfId="0">
      <alignment horizontal="center"/>
    </xf>
    <xf applyAlignment="1" applyProtection="1" borderId="143" fillId="0" fontId="46" numFmtId="202" pivotButton="0" quotePrefix="0" xfId="0">
      <alignment horizontal="center"/>
      <protection hidden="0" locked="0"/>
    </xf>
    <xf applyAlignment="1" borderId="139" fillId="15" fontId="6" numFmtId="221" pivotButton="0" quotePrefix="0" xfId="0">
      <alignment horizontal="center"/>
    </xf>
    <xf applyAlignment="1" borderId="72" fillId="16" fontId="17" numFmtId="0" pivotButton="0" quotePrefix="0" xfId="0">
      <alignment horizontal="center"/>
    </xf>
    <xf applyAlignment="1" borderId="55" fillId="2" fontId="11" numFmtId="0" pivotButton="0" quotePrefix="0" xfId="0">
      <alignment horizontal="center"/>
    </xf>
    <xf applyAlignment="1" applyProtection="1" borderId="56" fillId="0" fontId="46" numFmtId="170" pivotButton="0" quotePrefix="0" xfId="0">
      <alignment horizontal="center"/>
      <protection hidden="0" locked="0"/>
    </xf>
    <xf applyAlignment="1" applyProtection="1" borderId="228" fillId="0" fontId="46" numFmtId="170" pivotButton="0" quotePrefix="0" xfId="0">
      <alignment horizontal="center"/>
      <protection hidden="0" locked="0"/>
    </xf>
    <xf applyAlignment="1" borderId="13" fillId="2" fontId="17" numFmtId="172" pivotButton="0" quotePrefix="0" xfId="0">
      <alignment horizontal="center"/>
    </xf>
    <xf applyAlignment="1" borderId="229" fillId="15" fontId="10" numFmtId="203" pivotButton="0" quotePrefix="0" xfId="0">
      <alignment horizontal="center"/>
    </xf>
    <xf applyAlignment="1" borderId="230" fillId="15" fontId="10" numFmtId="204" pivotButton="0" quotePrefix="0" xfId="0">
      <alignment horizontal="center"/>
    </xf>
    <xf applyAlignment="1" borderId="105" fillId="2" fontId="11" numFmtId="0" pivotButton="0" quotePrefix="0" xfId="0">
      <alignment horizontal="center"/>
    </xf>
    <xf applyAlignment="1" applyProtection="1" borderId="64" fillId="0" fontId="46" numFmtId="170" pivotButton="0" quotePrefix="0" xfId="0">
      <alignment horizontal="center"/>
      <protection hidden="0" locked="0"/>
    </xf>
    <xf applyAlignment="1" applyProtection="1" borderId="107" fillId="0" fontId="46" numFmtId="170" pivotButton="0" quotePrefix="0" xfId="0">
      <alignment horizontal="center"/>
      <protection hidden="0" locked="0"/>
    </xf>
    <xf applyAlignment="1" applyProtection="1" borderId="231" fillId="0" fontId="46" numFmtId="170" pivotButton="0" quotePrefix="0" xfId="0">
      <alignment horizontal="center"/>
      <protection hidden="0" locked="0"/>
    </xf>
    <xf applyAlignment="1" borderId="221" fillId="2" fontId="17" numFmtId="172" pivotButton="0" quotePrefix="0" xfId="0">
      <alignment horizontal="center"/>
    </xf>
    <xf applyAlignment="1" applyProtection="1" borderId="182" fillId="0" fontId="46" numFmtId="204" pivotButton="0" quotePrefix="0" xfId="0">
      <alignment horizontal="center"/>
      <protection hidden="0" locked="0"/>
    </xf>
    <xf applyAlignment="1" borderId="232" fillId="15" fontId="10" numFmtId="192" pivotButton="0" quotePrefix="0" xfId="0">
      <alignment horizontal="center"/>
    </xf>
    <xf applyAlignment="1" borderId="233" fillId="15" fontId="10" numFmtId="203" pivotButton="0" quotePrefix="0" xfId="0">
      <alignment horizontal="center"/>
    </xf>
    <xf applyAlignment="1" borderId="63" fillId="2" fontId="11" numFmtId="0" pivotButton="0" quotePrefix="0" xfId="0">
      <alignment horizontal="center"/>
    </xf>
    <xf applyAlignment="1" borderId="19" fillId="2" fontId="48" numFmtId="170" pivotButton="0" quotePrefix="0" xfId="0">
      <alignment horizontal="center" vertical="top"/>
    </xf>
    <xf applyAlignment="1" borderId="20" fillId="2" fontId="48" numFmtId="170" pivotButton="0" quotePrefix="0" xfId="0">
      <alignment horizontal="center" vertical="top"/>
    </xf>
    <xf applyAlignment="1" borderId="234" fillId="2" fontId="49" numFmtId="170" pivotButton="0" quotePrefix="0" xfId="0">
      <alignment horizontal="center" vertical="top"/>
    </xf>
    <xf applyAlignment="1" borderId="21" fillId="2" fontId="17" numFmtId="172" pivotButton="0" quotePrefix="0" xfId="0">
      <alignment horizontal="center"/>
    </xf>
    <xf applyAlignment="1" borderId="21" fillId="8" fontId="11" numFmtId="172" pivotButton="0" quotePrefix="0" xfId="0">
      <alignment horizontal="center"/>
    </xf>
    <xf applyAlignment="1" applyProtection="1" borderId="146" fillId="0" fontId="46" numFmtId="203" pivotButton="0" quotePrefix="0" xfId="0">
      <alignment horizontal="center"/>
      <protection hidden="0" locked="0"/>
    </xf>
    <xf applyAlignment="1" borderId="235" fillId="15" fontId="10" numFmtId="192" pivotButton="0" quotePrefix="0" xfId="0">
      <alignment horizontal="center"/>
    </xf>
    <xf applyAlignment="1" borderId="236" fillId="15" fontId="10" numFmtId="204" pivotButton="0" quotePrefix="0" xfId="0">
      <alignment horizontal="center"/>
    </xf>
    <xf applyAlignment="1" applyProtection="1" borderId="135" fillId="0" fontId="46" numFmtId="200" pivotButton="0" quotePrefix="0" xfId="0">
      <alignment horizontal="center"/>
      <protection hidden="0" locked="0"/>
    </xf>
    <xf applyAlignment="1" borderId="230" fillId="15" fontId="10" numFmtId="205" pivotButton="0" quotePrefix="0" xfId="0">
      <alignment horizontal="center"/>
    </xf>
    <xf applyAlignment="1" applyProtection="1" borderId="140" fillId="0" fontId="46" numFmtId="205" pivotButton="0" quotePrefix="0" xfId="0">
      <alignment horizontal="center"/>
      <protection hidden="0" locked="0"/>
    </xf>
    <xf applyAlignment="1" borderId="232" fillId="15" fontId="10" numFmtId="193" pivotButton="0" quotePrefix="0" xfId="0">
      <alignment horizontal="center"/>
    </xf>
    <xf applyAlignment="1" applyProtection="1" borderId="237" fillId="0" fontId="46" numFmtId="170" pivotButton="0" quotePrefix="0" xfId="0">
      <alignment horizontal="center"/>
      <protection hidden="0" locked="0"/>
    </xf>
    <xf applyAlignment="1" borderId="235" fillId="15" fontId="10" numFmtId="193" pivotButton="0" quotePrefix="0" xfId="0">
      <alignment horizontal="center"/>
    </xf>
    <xf applyAlignment="1" borderId="236" fillId="15" fontId="10" numFmtId="205" pivotButton="0" quotePrefix="0" xfId="0">
      <alignment horizontal="center"/>
    </xf>
    <xf applyAlignment="1" borderId="239" fillId="15" fontId="6" numFmtId="176" pivotButton="0" quotePrefix="0" xfId="0">
      <alignment horizontal="center"/>
    </xf>
    <xf applyAlignment="1" borderId="240" fillId="15" fontId="6" numFmtId="170" pivotButton="0" quotePrefix="0" xfId="0">
      <alignment horizontal="center"/>
    </xf>
    <xf applyAlignment="1" borderId="179" fillId="2" fontId="11" numFmtId="0" pivotButton="0" quotePrefix="0" xfId="0">
      <alignment horizontal="center"/>
    </xf>
    <xf applyAlignment="1" applyProtection="1" borderId="241" fillId="0" fontId="46" numFmtId="170" pivotButton="0" quotePrefix="0" xfId="0">
      <alignment horizontal="center"/>
      <protection hidden="0" locked="0"/>
    </xf>
    <xf applyAlignment="1" applyProtection="1" borderId="242" fillId="0" fontId="46" numFmtId="170" pivotButton="0" quotePrefix="0" xfId="0">
      <alignment horizontal="center"/>
      <protection hidden="0" locked="0"/>
    </xf>
    <xf applyAlignment="1" borderId="243" fillId="8" fontId="11" numFmtId="172" pivotButton="0" quotePrefix="0" xfId="0">
      <alignment horizontal="center"/>
    </xf>
    <xf applyAlignment="1" borderId="215" fillId="15" fontId="6" numFmtId="176" pivotButton="0" quotePrefix="0" xfId="0">
      <alignment horizontal="center"/>
    </xf>
    <xf applyAlignment="1" borderId="42" fillId="15" fontId="6" numFmtId="170" pivotButton="0" quotePrefix="0" xfId="0">
      <alignment horizontal="center"/>
    </xf>
    <xf applyAlignment="1" borderId="245" fillId="8" fontId="17" numFmtId="170" pivotButton="0" quotePrefix="0" xfId="0">
      <alignment horizontal="center"/>
    </xf>
    <xf applyAlignment="1" borderId="246" fillId="8" fontId="17" numFmtId="170" pivotButton="0" quotePrefix="0" xfId="0">
      <alignment horizontal="center"/>
    </xf>
    <xf applyAlignment="1" borderId="247" fillId="8" fontId="17" numFmtId="170" pivotButton="0" quotePrefix="0" xfId="0">
      <alignment horizontal="center"/>
    </xf>
    <xf applyAlignment="1" borderId="248" fillId="8" fontId="17" numFmtId="170" pivotButton="0" quotePrefix="0" xfId="0">
      <alignment horizontal="center"/>
    </xf>
    <xf applyAlignment="1" borderId="249" fillId="8" fontId="17" numFmtId="170" pivotButton="0" quotePrefix="0" xfId="0">
      <alignment horizontal="center"/>
    </xf>
    <xf applyAlignment="1" borderId="250" fillId="8" fontId="17" numFmtId="170" pivotButton="0" quotePrefix="0" xfId="0">
      <alignment horizontal="center"/>
    </xf>
    <xf applyAlignment="1" borderId="141" fillId="0" fontId="24" numFmtId="0" pivotButton="0" quotePrefix="0" xfId="0">
      <alignment horizontal="center"/>
    </xf>
    <xf applyAlignment="1" borderId="68" fillId="0" fontId="27" numFmtId="0" pivotButton="0" quotePrefix="0" xfId="1">
      <alignment horizontal="center"/>
    </xf>
    <xf applyAlignment="1" borderId="251" fillId="0" fontId="0" numFmtId="172" pivotButton="0" quotePrefix="0" xfId="0">
      <alignment horizontal="center"/>
    </xf>
    <xf applyAlignment="1" borderId="251" fillId="0" fontId="0" numFmtId="175" pivotButton="0" quotePrefix="0" xfId="0">
      <alignment horizontal="center"/>
    </xf>
    <xf applyAlignment="1" borderId="252" fillId="0" fontId="0" numFmtId="172" pivotButton="0" quotePrefix="0" xfId="0">
      <alignment horizontal="center"/>
    </xf>
    <xf applyAlignment="1" borderId="252" fillId="0" fontId="0" numFmtId="175" pivotButton="0" quotePrefix="0" xfId="0">
      <alignment horizontal="center"/>
    </xf>
    <xf applyAlignment="1" borderId="253" fillId="0" fontId="0" numFmtId="175" pivotButton="0" quotePrefix="0" xfId="0">
      <alignment horizontal="center"/>
    </xf>
    <xf applyAlignment="1" borderId="109" fillId="0" fontId="0" numFmtId="172" pivotButton="0" quotePrefix="0" xfId="0">
      <alignment horizontal="center"/>
    </xf>
    <xf applyAlignment="1" borderId="109" fillId="0" fontId="0" numFmtId="175" pivotButton="0" quotePrefix="0" xfId="0">
      <alignment horizontal="center"/>
    </xf>
  </cellXfs>
  <cellStyles count="3">
    <cellStyle builtinId="0" name="Normal" xfId="0"/>
    <cellStyle builtinId="8" name="Hyperlink" xfId="1"/>
    <cellStyle name="Hyperlink_DanielsTables2-9h-01" xfId="2"/>
  </cellStyles>
  <dxfs count="30">
    <dxf>
      <font>
        <b val="1"/>
      </font>
      <fill>
        <patternFill>
          <bgColor theme="2" tint="-0.09994811853389081"/>
        </patternFill>
      </fill>
    </dxf>
    <dxf>
      <font>
        <b val="1"/>
        <color auto="1"/>
      </font>
      <fill>
        <patternFill>
          <bgColor theme="2" tint="-0.09994811853389081"/>
        </patternFill>
      </fill>
    </dxf>
    <dxf>
      <font>
        <b val="1"/>
        <color auto="1"/>
      </font>
      <fill>
        <patternFill>
          <bgColor theme="2" tint="-0.09994811853389081"/>
        </patternFill>
      </fill>
    </dxf>
    <dxf>
      <font>
        <b val="1"/>
        <color rgb="FFC00000"/>
      </font>
      <fill>
        <patternFill>
          <bgColor rgb="FFFFFF00"/>
        </patternFill>
      </fill>
    </dxf>
    <dxf>
      <font>
        <color rgb="FFFF0000"/>
      </font>
    </dxf>
    <dxf>
      <font>
        <condense val="0"/>
        <color indexed="10"/>
        <extend val="0"/>
      </font>
    </dxf>
    <dxf>
      <font>
        <b val="1"/>
        <color rgb="FFC00000"/>
      </font>
      <fill>
        <patternFill>
          <bgColor rgb="FFFFFF00"/>
        </patternFill>
      </fill>
    </dxf>
    <dxf>
      <font>
        <condense val="0"/>
        <color indexed="10"/>
        <extend val="0"/>
      </font>
    </dxf>
    <dxf>
      <font>
        <b val="1"/>
        <color auto="1"/>
      </font>
      <fill>
        <patternFill>
          <bgColor theme="2" tint="-0.09994811853389081"/>
        </patternFill>
      </fill>
    </dxf>
    <dxf>
      <font>
        <b val="1"/>
        <color rgb="FFC00000"/>
      </font>
      <fill>
        <patternFill>
          <bgColor rgb="FFFFFF00"/>
        </patternFill>
      </fill>
    </dxf>
    <dxf>
      <font>
        <condense val="0"/>
        <color indexed="10"/>
        <extend val="0"/>
      </font>
    </dxf>
    <dxf>
      <font>
        <condense val="0"/>
        <color indexed="22"/>
        <extend val="0"/>
      </font>
    </dxf>
    <dxf>
      <font>
        <condense val="0"/>
        <color indexed="55"/>
        <extend val="0"/>
      </font>
      <fill>
        <patternFill>
          <bgColor indexed="55"/>
        </patternFill>
      </fill>
    </dxf>
    <dxf>
      <font>
        <condense val="0"/>
        <color indexed="55"/>
        <extend val="0"/>
      </font>
      <fill>
        <patternFill>
          <bgColor indexed="55"/>
        </patternFill>
      </fill>
    </dxf>
    <dxf>
      <font>
        <color indexed="55"/>
      </font>
      <fill>
        <patternFill>
          <bgColor indexed="55"/>
        </patternFill>
      </fill>
    </dxf>
    <dxf>
      <font>
        <color indexed="55"/>
      </font>
      <fill>
        <patternFill>
          <bgColor indexed="55"/>
        </patternFill>
      </fill>
    </dxf>
    <dxf>
      <font>
        <condense val="0"/>
        <color indexed="55"/>
        <extend val="0"/>
      </font>
    </dxf>
    <dxf>
      <font>
        <condense val="0"/>
        <color indexed="55"/>
        <extend val="0"/>
      </font>
      <fill>
        <patternFill>
          <bgColor indexed="55"/>
        </patternFill>
      </fill>
    </dxf>
    <dxf>
      <font>
        <condense val="0"/>
        <color indexed="55"/>
        <extend val="0"/>
      </font>
      <fill>
        <patternFill>
          <bgColor indexed="55"/>
        </patternFill>
      </fill>
    </dxf>
    <dxf>
      <font>
        <color indexed="55"/>
      </font>
      <fill>
        <patternFill>
          <bgColor indexed="55"/>
        </patternFill>
      </fill>
    </dxf>
    <dxf>
      <font>
        <color indexed="55"/>
      </font>
      <fill>
        <patternFill>
          <bgColor indexed="55"/>
        </patternFill>
      </fill>
    </dxf>
    <dxf>
      <font>
        <condense val="0"/>
        <color indexed="10"/>
        <extend val="0"/>
      </font>
    </dxf>
    <dxf>
      <font>
        <color rgb="FFFF0000"/>
      </font>
    </dxf>
    <dxf>
      <font>
        <condense val="0"/>
        <color indexed="10"/>
        <extend val="0"/>
      </font>
    </dxf>
    <dxf>
      <font>
        <condense val="0"/>
        <color indexed="10"/>
        <extend val="0"/>
      </font>
    </dxf>
    <dxf>
      <font>
        <strike val="0"/>
        <condense val="0"/>
        <color indexed="10"/>
        <extend val="0"/>
      </font>
      <fill>
        <patternFill patternType="solid">
          <fgColor indexed="64"/>
          <bgColor indexed="26"/>
        </patternFill>
      </fill>
    </dxf>
    <dxf>
      <font>
        <b val="1"/>
        <condense val="0"/>
        <color indexed="10"/>
        <extend val="0"/>
      </font>
      <fill>
        <patternFill>
          <bgColor indexed="13"/>
        </patternFill>
      </fill>
    </dxf>
    <dxf>
      <font>
        <b val="1"/>
        <condense val="0"/>
        <extend val="0"/>
      </font>
    </dxf>
    <dxf>
      <font>
        <b val="1"/>
        <condense val="0"/>
        <extend val="0"/>
      </font>
    </dxf>
    <dxf>
      <font>
        <condense val="0"/>
        <color indexed="22"/>
        <extend val="0"/>
      </font>
    </dxf>
  </dxfs>
  <tableStyles count="0" defaultPivotStyle="PivotStyleLight16" defaultTableStyle="TableStyleMedium2"/>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styles.xml" Type="http://schemas.openxmlformats.org/officeDocument/2006/relationships/styles"/><Relationship Id="rId4" Target="theme/theme1.xml" Type="http://schemas.openxmlformats.org/officeDocument/2006/relationships/theme"/><Relationship Id="rId5" Target="vbaProject.bin" Type="http://schemas.microsoft.com/office/2006/relationships/vbaProject"/></Relationships>
</file>

<file path=xl/comments/comment1.xml><?xml version="1.0" encoding="utf-8"?>
<comments xmlns="http://schemas.openxmlformats.org/spreadsheetml/2006/main">
  <authors>
    <author>Herm</author>
    <author>HP Pavilion User</author>
    <author>Herman</author>
    <author>dyhjn</author>
    <author>TECO</author>
  </authors>
  <commentList>
    <comment authorId="0" ref="I5" shapeId="0">
      <text>
        <t xml:space="preserve">            Age Group Percentage Score
USATF Masters gives the following guidelines for scores:
100% - Approximate World Record Level
&gt;90% - World Class Level
&gt;80% - National Class Level
&gt;70% - Regional Class Level
&gt;60% - Local Class Level</t>
      </text>
    </comment>
    <comment authorId="1" ref="G6" shapeId="0">
      <text>
        <t>Enter all times as
h:mm:ss
Hours must be entered even if zero.</t>
      </text>
    </comment>
    <comment authorId="1" ref="I6" shapeId="0">
      <text>
        <t>Valid VDOT range is
25 to 85.</t>
      </text>
    </comment>
    <comment authorId="2" ref="M30" shapeId="0">
      <text>
        <t>For this field Time Entry must be in h:mm:ss format</t>
      </text>
    </comment>
    <comment authorId="2" ref="O30" shapeId="0">
      <text>
        <t>Enter Pace in mm:ss format</t>
      </text>
    </comment>
    <comment authorId="1" ref="O74" shapeId="0">
      <text>
        <t>Enter time as
h:mm:ss
Hours must be entered even if zero.</t>
      </text>
    </comment>
    <comment authorId="3" ref="I87" shapeId="0">
      <text>
        <t xml:space="preserve"> Power Factors:
1)  Daniels:  0.83
2)  Physics:  0.50
3) Flyer HC:  0.33
This setting also affects weight change calcs
in Entry Time Grading and Peak Potential.</t>
      </text>
    </comment>
    <comment authorId="1" ref="D103" shapeId="0">
      <text>
        <t>Enter all times as
h:mm:ss
Hours must be entered even if zero.</t>
      </text>
    </comment>
    <comment authorId="1" ref="D104" shapeId="0">
      <text>
        <t>Enter all times as
h:mm:ss
Hours must be entered even if zero.</t>
      </text>
    </comment>
    <comment authorId="4" ref="B109" shapeId="0">
      <text>
        <t>Includes recovery runs after hard days, and any other running  around 2 min/mile slower than Marathon pace.</t>
      </text>
    </comment>
    <comment authorId="4" ref="B110" shapeId="0">
      <text>
        <t>30 to 90 minutes.
Around 1 min/mile slower than Marathon pace.</t>
      </text>
    </comment>
    <comment authorId="4" ref="B111" shapeId="0">
      <text>
        <t>25-33% percent of weekly total. 90 min up to 2.5 hours or longer. 
Around 1 to 1.5 min/mile slower than Marathon pace.</t>
      </text>
    </comment>
    <comment authorId="4" ref="B112" shapeId="0">
      <text>
        <t>7-16 Miles.  
60 to 150 minutes.</t>
      </text>
    </comment>
    <comment authorId="4" ref="B113" shapeId="0">
      <text>
        <t>Up to 10% of weekly total.
25-30 sec slower than 5k pace.</t>
      </text>
    </comment>
    <comment authorId="4" ref="B115" shapeId="0">
      <text>
        <t>Up to 8% of weekly total.
Around 3k-5k pace.</t>
      </text>
    </comment>
    <comment authorId="4" ref="B116" shapeId="0">
      <text>
        <t>Up to 5% of weekly total.
Target Race Pace.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L$5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C$4" lockText="1"/>
</file>

<file path=xl/ctrlProps/ctrlProp8.xml><?xml version="1.0" encoding="utf-8"?>
<formControlPr xmlns="http://schemas.microsoft.com/office/spreadsheetml/2009/9/main" objectType="CheckBox" fmlaLink="$B$4" lockText="1"/>
</file>

<file path=xl/ctrlProps/ctrlProp9.xml><?xml version="1.0" encoding="utf-8"?>
<formControlPr xmlns="http://schemas.microsoft.com/office/spreadsheetml/2009/9/main" objectType="CheckBox" fmlaLink="$L$69" lockText="1"/>
</file>

<file path=xl/ctrlProps/ctrlProp10.xml><?xml version="1.0" encoding="utf-8"?>
<formControlPr xmlns="http://schemas.microsoft.com/office/spreadsheetml/2009/9/main" objectType="CheckBox" fmlaLink="$L$47" lockText="1"/>
</file>

<file path=xl/ctrlProps/ctrlProp11.xml><?xml version="1.0" encoding="utf-8"?>
<formControlPr xmlns="http://schemas.microsoft.com/office/spreadsheetml/2009/9/main" objectType="CheckBox" fmlaLink="$P$70" lockText="1"/>
</file>

<file path=xl/ctrlProps/ctrlProp12.xml><?xml version="1.0" encoding="utf-8"?>
<formControlPr xmlns="http://schemas.microsoft.com/office/spreadsheetml/2009/9/main" objectType="CheckBox" checked="Checked" fmlaLink="$Q$49" lockText="1"/>
</file>

<file path=xl/ctrlProps/ctrlProp13.xml><?xml version="1.0" encoding="utf-8"?>
<formControlPr xmlns="http://schemas.microsoft.com/office/spreadsheetml/2009/9/main" objectType="CheckBox" checked="Checked" fmlaLink="$C$4" lockText="1"/>
</file>

<file path=xl/ctrlProps/ctrlProp14.xml><?xml version="1.0" encoding="utf-8"?>
<formControlPr xmlns="http://schemas.microsoft.com/office/spreadsheetml/2009/9/main" objectType="CheckBox" fmlaLink="$L$82"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R$85" lockText="1"/>
</file>

<file path=xl/ctrlProps/ctrlProp17.xml><?xml version="1.0" encoding="utf-8"?>
<formControlPr xmlns="http://schemas.microsoft.com/office/spreadsheetml/2009/9/main" objectType="CheckBox" fmlaLink="$N$96" lockText="1" noThreeD="1"/>
</file>

<file path=xl/ctrlProps/ctrlProp18.xml><?xml version="1.0" encoding="utf-8"?>
<formControlPr xmlns="http://schemas.microsoft.com/office/spreadsheetml/2009/9/main" objectType="CheckBox" checked="Checked" fmlaLink="$M$100" lockText="1" noThreeD="1"/>
</file>

<file path=xl/ctrlProps/ctrlProp19.xml><?xml version="1.0" encoding="utf-8"?>
<formControlPr xmlns="http://schemas.microsoft.com/office/spreadsheetml/2009/9/main" objectType="CheckBox" fmlaLink="$M$102" lockText="1" noThreeD="1"/>
</file>

<file path=xl/ctrlProps/ctrlProp20.xml><?xml version="1.0" encoding="utf-8"?>
<formControlPr xmlns="http://schemas.microsoft.com/office/spreadsheetml/2009/9/main" objectType="CheckBox" checked="Checked" fmlaLink="$M$101"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L$63" lockText="1"/>
</file>

<file path=xl/ctrlProps/ctrlProp23.xml><?xml version="1.0" encoding="utf-8"?>
<formControlPr xmlns="http://schemas.microsoft.com/office/spreadsheetml/2009/9/main" objectType="CheckBox" checked="Checked" fmlaLink="$H$67" lockText="1"/>
</file>

<file path=xl/ctrlProps/ctrlProp24.xml><?xml version="1.0" encoding="utf-8"?>
<formControlPr xmlns="http://schemas.microsoft.com/office/spreadsheetml/2009/9/main" objectType="CheckBox" fmlaLink="$L$75" lockText="1"/>
</file>

<file path=xl/ctrlProps/ctrlProp25.xml><?xml version="1.0" encoding="utf-8"?>
<formControlPr xmlns="http://schemas.microsoft.com/office/spreadsheetml/2009/9/main" objectType="CheckBox" fmlaLink="$D$73" lockText="1"/>
</file>

<file path=xl/ctrlProps/ctrlProp26.xml><?xml version="1.0" encoding="utf-8"?>
<formControlPr xmlns="http://schemas.microsoft.com/office/spreadsheetml/2009/9/main" objectType="CheckBox" fmlaLink="$J$73" lockText="1"/>
</file>

<file path=xl/ctrlProps/ctrlProp27.xml><?xml version="1.0" encoding="utf-8"?>
<formControlPr xmlns="http://schemas.microsoft.com/office/spreadsheetml/2009/9/main" objectType="CheckBox" fmlaLink="$D$16" lockText="1"/>
</file>

<file path=xl/ctrlProps/ctrlProp28.xml><?xml version="1.0" encoding="utf-8"?>
<formControlPr xmlns="http://schemas.microsoft.com/office/spreadsheetml/2009/9/main" objectType="CheckBox" fmlaLink="$E$16" lockText="1"/>
</file>

<file path=xl/ctrlProps/ctrlProp29.xml><?xml version="1.0" encoding="utf-8"?>
<formControlPr xmlns="http://schemas.microsoft.com/office/spreadsheetml/2009/9/main" objectType="CheckBox" checked="Checked" fmlaLink="$M$100" lockText="1" noThreeD="1"/>
</file>

<file path=xl/ctrlProps/ctrlProp30.xml><?xml version="1.0" encoding="utf-8"?>
<formControlPr xmlns="http://schemas.microsoft.com/office/spreadsheetml/2009/9/main" objectType="CheckBox" checked="Checked" fmlaLink="$M$101" lockText="1" noThreeD="1"/>
</file>

<file path=xl/ctrlProps/ctrlProp31.xml><?xml version="1.0" encoding="utf-8"?>
<formControlPr xmlns="http://schemas.microsoft.com/office/spreadsheetml/2009/9/main" objectType="CheckBox" fmlaLink="$M$102" lockText="1" noThreeD="1"/>
</file>

<file path=xl/ctrlProps/ctrlProp32.xml><?xml version="1.0" encoding="utf-8"?>
<formControlPr xmlns="http://schemas.microsoft.com/office/spreadsheetml/2009/9/main" objectType="Radio" firstButton="1" fmlaLink="$S$6"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Radio" firstButton="1" fmlaLink="$G$16"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checked="Checked" fmlaLink="$B$100" lockText="1"/>
</file>

<file path=xl/ctrlProps/ctrlProp39.xml><?xml version="1.0" encoding="utf-8"?>
<formControlPr xmlns="http://schemas.microsoft.com/office/spreadsheetml/2009/9/main" objectType="CheckBox" fmlaLink="$L$82"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 Target="https://www.runscore.com/Alan/AgeGrade.html" TargetMode="External" Type="http://schemas.openxmlformats.org/officeDocument/2006/relationships/hyperlink"/><Relationship Id="rId2" Target="https://vdoto2.com/" TargetMode="External" Type="http://schemas.openxmlformats.org/officeDocument/2006/relationships/hyperlink"/><Relationship Id="rId3" Target="http://www.runsmartproject.com/" TargetMode="External" Type="http://schemas.openxmlformats.org/officeDocument/2006/relationships/hyperlink"/><Relationship Id="rId4" Target="http://www.mcmillanrunning.com/" TargetMode="External" Type="http://schemas.openxmlformats.org/officeDocument/2006/relationships/hyperlink"/><Relationship Id="rId5" Target="http://www.joefrielsblog.com/" TargetMode="External" Type="http://schemas.openxmlformats.org/officeDocument/2006/relationships/hyperlink"/><Relationship Id="rId6" Target="http://www.iaaf.org/statistics/records/index.html" TargetMode="External" Type="http://schemas.openxmlformats.org/officeDocument/2006/relationships/hyperlink"/><Relationship Id="rId7" Target="https://www.runscore.com/Alan/AgeGrade.html" TargetMode="External" Type="http://schemas.openxmlformats.org/officeDocument/2006/relationships/hyperlink"/><Relationship Id="rId8" Target="http://arrs.run/" TargetMode="External" Type="http://schemas.openxmlformats.org/officeDocument/2006/relationships/hyperlink"/><Relationship Id="rId9" Target="https://www.runscore.com/Alan/AgeGrade.html" TargetMode="External" Type="http://schemas.openxmlformats.org/officeDocument/2006/relationships/hyperlink"/><Relationship Id="comments" Target="/xl/comments/comment1.xml" Type="http://schemas.openxmlformats.org/officeDocument/2006/relationships/comments"/><Relationship Id="anysvml" Target="/xl/drawings/vmlDrawing1.vml" Type="http://schemas.openxmlformats.org/officeDocument/2006/relationships/vmlDrawing"/></Relationships>
</file>

<file path=xl/worksheets/_rels/sheet2.xml.rels><Relationships xmlns="http://schemas.openxmlformats.org/package/2006/relationships"><Relationship Id="rId1" Target="http://www.electricblues.com/runpro.html" TargetMode="External" Type="http://schemas.openxmlformats.org/officeDocument/2006/relationships/hyperlink"/><Relationship Id="rId2" Target="http://www.mcmillanrunning.com/" TargetMode="External" Type="http://schemas.openxmlformats.org/officeDocument/2006/relationships/hyperlink"/><Relationship Id="rId3" Target="http://www.mcmillanrunning.com/training4.htm" TargetMode="External" Type="http://schemas.openxmlformats.org/officeDocument/2006/relationships/hyperlink"/><Relationship Id="rId4" Target="http://www.joefrielsblog.com/" TargetMode="External" Type="http://schemas.openxmlformats.org/officeDocument/2006/relationships/hyperlink"/><Relationship Id="rId5" Target="http://electricblues.com/html/JoeFrielsQuickGuide.pdf" TargetMode="External" Type="http://schemas.openxmlformats.org/officeDocument/2006/relationships/hyperlink"/><Relationship Id="rId6" Target="https://runbundle.com/tools/stillman-weight-calculator" TargetMode="External" Type="http://schemas.openxmlformats.org/officeDocument/2006/relationships/hyperlink"/><Relationship Id="rId7" Target="https://cicerunner.wordpress.com/2014/06/01/stillman-running-weight/" TargetMode="External" Type="http://schemas.openxmlformats.org/officeDocument/2006/relationships/hyperlink"/><Relationship Id="rId8" Target="http://www.arrs.net%3e%3cRiegelpete@aol.com" TargetMode="External" Type="http://schemas.openxmlformats.org/officeDocument/2006/relationships/hyperlink"/><Relationship Id="rId9" Target="mailto:AlanJones@stny.rr.com?cc=herm@electricblues.com&amp;subject=Age%20Factor%20Tables" TargetMode="External" Type="http://schemas.openxmlformats.org/officeDocument/2006/relationships/hyperlink"/><Relationship Id="rId10" Target="https://www.runscore.com/Alan/AgeGrade.html" TargetMode="External" Type="http://schemas.openxmlformats.org/officeDocument/2006/relationships/hyperlink"/><Relationship Id="rId11" Target="http://www.world-masters-athletics.org/" TargetMode="External" Type="http://schemas.openxmlformats.org/officeDocument/2006/relationships/hyperlink"/><Relationship Id="rId12" Target="http://usatfmasters.org/wp/2018/08/age-grading/" TargetMode="External" Type="http://schemas.openxmlformats.org/officeDocument/2006/relationships/hyperlink"/><Relationship Id="rId13" Target="http://www.iaaf.org/" TargetMode="External" Type="http://schemas.openxmlformats.org/officeDocument/2006/relationships/hyperlink"/></Relationships>
</file>

<file path=xl/worksheets/sheet1.xml><?xml version="1.0" encoding="utf-8"?>
<worksheet xmlns="http://schemas.openxmlformats.org/spreadsheetml/2006/main">
  <sheetPr codeName="Sheet05">
    <outlinePr summaryBelow="1" summaryRight="1"/>
    <pageSetUpPr fitToPage="1"/>
  </sheetPr>
  <dimension ref="A1:AH220"/>
  <sheetViews>
    <sheetView showGridLines="0" tabSelected="1" workbookViewId="0" zoomScaleNormal="100">
      <selection activeCell="G6" sqref="G6"/>
    </sheetView>
  </sheetViews>
  <sheetFormatPr baseColWidth="8" defaultColWidth="10.7109375" defaultRowHeight="12.75"/>
  <cols>
    <col customWidth="1" max="1" min="1" style="663" width="0.85546875"/>
    <col customWidth="1" max="2" min="2" style="663" width="10.7109375"/>
    <col customWidth="1" max="3" min="3" style="1065" width="7.7109375"/>
    <col customWidth="1" max="4" min="4" style="663" width="8.140625"/>
    <col customWidth="1" max="5" min="5" style="663" width="8.7109375"/>
    <col customWidth="1" max="11" min="6" style="663" width="8.42578125"/>
    <col customWidth="1" max="12" min="12" style="663" width="9"/>
    <col customWidth="1" max="13" min="13" style="663" width="9.7109375"/>
    <col customWidth="1" max="15" min="14" style="663" width="8.28515625"/>
    <col customWidth="1" max="17" min="16" style="663" width="8.5703125"/>
    <col customWidth="1" max="18" min="18" style="663" width="8.42578125"/>
    <col customWidth="1" max="21" min="19" style="1065" width="9.140625"/>
    <col customWidth="1" max="22" min="22" style="663" width="10.140625"/>
    <col customWidth="1" hidden="1" max="24" min="23" style="663" width="10.140625"/>
    <col customWidth="1" hidden="1" max="26" min="25" style="663" width="9.140625"/>
    <col customWidth="1" hidden="1" max="31" min="27" style="663" width="12.7109375"/>
    <col customWidth="1" max="32" min="32" style="663" width="9.140625"/>
    <col customWidth="1" max="33" min="33" style="663" width="10.7109375"/>
    <col customWidth="1" max="16384" min="34" style="663" width="10.7109375"/>
  </cols>
  <sheetData>
    <row customHeight="1" ht="6" r="1" s="663" thickBot="1">
      <c r="A1" s="323" t="n"/>
    </row>
    <row customHeight="1" ht="13.5" r="2" s="663" thickBot="1" thickTop="1">
      <c r="A2" s="323" t="n"/>
      <c r="B2" s="5">
        <f>IF($B$4,"Height (cm):","Height (in):")</f>
        <v/>
      </c>
      <c r="C2" s="6" t="inlineStr">
        <is>
          <t>72</t>
        </is>
      </c>
      <c r="D2" s="7" t="inlineStr">
        <is>
          <t>Birthdate:</t>
        </is>
      </c>
      <c r="E2" s="8" t="n">
        <v>20090</v>
      </c>
      <c r="F2" s="10" t="n"/>
      <c r="G2" s="736" t="inlineStr">
        <is>
          <t>Daniels' Training Tables Rev3.01.03</t>
        </is>
      </c>
      <c r="H2" s="10" t="n"/>
      <c r="I2" s="10" t="n"/>
      <c r="J2" s="10" t="n"/>
      <c r="K2" s="10" t="n"/>
      <c r="L2" s="10" t="n"/>
      <c r="M2" s="10" t="n"/>
      <c r="N2" s="10" t="n"/>
      <c r="O2" s="10" t="n"/>
      <c r="P2" s="11" t="n"/>
      <c r="Q2" s="694" t="inlineStr">
        <is>
          <t>Last Update:</t>
        </is>
      </c>
      <c r="R2" s="695" t="n">
        <v>43493</v>
      </c>
    </row>
    <row customHeight="1" ht="13.5" r="3" s="663">
      <c r="B3" s="13">
        <f>"Weight"&amp;IF($B$4," (kg):"," (lb):")</f>
        <v/>
      </c>
      <c r="C3" s="14" t="n">
        <v>203</v>
      </c>
      <c r="D3" s="15" t="inlineStr">
        <is>
          <t>HRmax:</t>
        </is>
      </c>
      <c r="E3" s="16" t="n">
        <v>170</v>
      </c>
      <c r="P3" s="1069">
        <f>P73</f>
        <v/>
      </c>
      <c r="Q3" s="1070" t="n"/>
      <c r="R3" s="1071" t="n"/>
      <c r="S3" s="792" t="inlineStr">
        <is>
          <t>Custom</t>
        </is>
      </c>
      <c r="T3" s="792" t="n"/>
      <c r="U3" s="792" t="n"/>
      <c r="V3" s="792" t="n"/>
    </row>
    <row customHeight="1" ht="13.5" r="4" s="663" thickBot="1">
      <c r="B4" s="19" t="b">
        <v>0</v>
      </c>
      <c r="C4" s="20" t="b">
        <v>1</v>
      </c>
      <c r="D4" s="21" t="inlineStr">
        <is>
          <t>Rest HR:</t>
        </is>
      </c>
      <c r="E4" s="22" t="n">
        <v>55</v>
      </c>
      <c r="F4" s="23" t="n"/>
      <c r="G4" s="741" t="inlineStr">
        <is>
          <t>A Collection of Jack Daniels' Related Guidelines (&amp; Other Tools)</t>
        </is>
      </c>
      <c r="N4" s="640" t="n"/>
      <c r="O4" s="641" t="n"/>
      <c r="P4" s="742">
        <f>"Open Class Standard:"</f>
        <v/>
      </c>
      <c r="Q4" s="1072" t="n"/>
      <c r="R4" s="596">
        <f>R74</f>
        <v/>
      </c>
      <c r="S4" s="792" t="inlineStr">
        <is>
          <t>Distance</t>
        </is>
      </c>
      <c r="T4" s="792" t="n"/>
      <c r="U4" s="792" t="inlineStr">
        <is>
          <t>`</t>
        </is>
      </c>
      <c r="V4" s="792" t="n"/>
      <c r="W4" s="1073" t="inlineStr">
        <is>
          <t>Colums to hide</t>
        </is>
      </c>
      <c r="X4" s="1074" t="n"/>
      <c r="Y4" s="1074" t="n"/>
      <c r="Z4" s="1074" t="n"/>
      <c r="AA4" s="1074" t="n"/>
      <c r="AB4" s="1074" t="n"/>
      <c r="AC4" s="1074" t="n"/>
      <c r="AD4" s="1074" t="n"/>
      <c r="AE4" s="1075" t="n"/>
    </row>
    <row customHeight="1" ht="13.5" r="5" s="663" thickBot="1" thickTop="1">
      <c r="B5" s="747" t="inlineStr">
        <is>
          <t>Valid age range is between 5 and 100. Age =</t>
        </is>
      </c>
      <c r="C5" s="659" t="n"/>
      <c r="D5" s="659" t="n"/>
      <c r="E5" s="24">
        <f>IF(AND(DATEDIF($E$2,NOW(),"y")&gt;=0,DATEDIF($E$2,NOW(),"y")&lt;110),DATEDIF($E$2,NOW(),"y"),"Birthdate?")</f>
        <v/>
      </c>
      <c r="G5" s="402" t="inlineStr">
        <is>
          <t>H:MM:SS</t>
        </is>
      </c>
      <c r="H5" s="26" t="n"/>
      <c r="I5" s="1076">
        <f>IF(R5="No Std","Custom Entry - No Std",IF(R5="Birthdate?",R5,"AGP  " &amp; IF($C$4,"M-","F-")&amp;$E$5&amp;":   "&amp;TEXT($R$5/$G$6,"#.##%")))</f>
        <v/>
      </c>
      <c r="J5" s="1077" t="n"/>
      <c r="K5" s="642" t="n"/>
      <c r="L5" s="751" t="inlineStr">
        <is>
          <t>Lactate Threshold Zone (LT)</t>
        </is>
      </c>
      <c r="M5" s="1070" t="n"/>
      <c r="N5" s="1070" t="n"/>
      <c r="O5" s="27" t="n"/>
      <c r="P5" s="752">
        <f>"Age "&amp;TEXT(E5,"#")&amp; " Standard:"</f>
        <v/>
      </c>
      <c r="Q5" s="224" t="n"/>
      <c r="R5" s="597">
        <f>R75</f>
        <v/>
      </c>
      <c r="S5" s="28" t="n">
        <v>5.2</v>
      </c>
      <c r="T5" s="792" t="n"/>
      <c r="U5" s="792" t="n"/>
      <c r="V5" s="792" t="n"/>
    </row>
    <row customHeight="1" ht="13.5" r="6" s="663" thickBot="1" thickTop="1">
      <c r="B6" s="1068">
        <f>"Powered by "&amp;IF($G$16=1,"Daniels","Riegel")</f>
        <v/>
      </c>
      <c r="D6" s="30" t="inlineStr">
        <is>
          <t>Distance:</t>
        </is>
      </c>
      <c r="E6" s="636" t="inlineStr">
        <is>
          <t>5k</t>
        </is>
      </c>
      <c r="F6" s="30" t="inlineStr">
        <is>
          <t>Time:</t>
        </is>
      </c>
      <c r="G6" s="31" t="inlineStr">
        <is>
          <t>3:25:24</t>
        </is>
      </c>
      <c r="H6" s="32" t="n"/>
      <c r="I6" s="1078">
        <f>IF(AND($E$6&gt;0,$G$6&gt;0),(-4.6 + 0.182258 * (F8/G6/1440) + 0.000104 *(F8/G6/1440)^2)/D9,1)</f>
        <v/>
      </c>
      <c r="J6" s="659" t="n"/>
      <c r="K6" s="33" t="inlineStr">
        <is>
          <t>LT Pace:</t>
        </is>
      </c>
      <c r="L6" s="34">
        <f>IF(AND($E$6&gt;0,$G$6&gt;0),(1/(29.54 + 5.000663 * ($I$6*0.88) - 0.007546 * ($I$6*0.88)^2)*1609.344/1440),"-")</f>
        <v/>
      </c>
      <c r="M6" s="35">
        <f>+L6*0.621371192</f>
        <v/>
      </c>
      <c r="N6" s="36" t="inlineStr">
        <is>
          <t>LT HR:</t>
        </is>
      </c>
      <c r="O6" s="37">
        <f>IF($E$3&gt;0,TEXT(0.88*E3,"0")&amp;" - "&amp;TEXT(0.92*E3,"0"),"")</f>
        <v/>
      </c>
      <c r="P6" s="1079">
        <f>"Peak Potential at "&amp;ROUND(C3,1)&amp;IF(B4," kg"," lb")</f>
        <v/>
      </c>
      <c r="Q6" s="1080" t="n"/>
      <c r="R6" s="598">
        <f>R78</f>
        <v/>
      </c>
      <c r="S6" s="38" t="n">
        <v>2</v>
      </c>
      <c r="T6" s="792" t="n"/>
      <c r="U6" s="792" t="n"/>
      <c r="V6" s="792" t="n"/>
    </row>
    <row customHeight="1" ht="13.5" r="7" s="663" thickBot="1" thickTop="1">
      <c r="B7" s="39" t="n"/>
      <c r="C7" s="40" t="inlineStr">
        <is>
          <t>Zone / Distance</t>
        </is>
      </c>
      <c r="D7" s="758" t="inlineStr">
        <is>
          <t>Recovery</t>
        </is>
      </c>
      <c r="E7" s="1081" t="inlineStr">
        <is>
          <t>Easy Aerobic Zone</t>
        </is>
      </c>
      <c r="F7" s="11" t="n"/>
      <c r="G7" s="1082" t="n"/>
      <c r="H7" s="41" t="inlineStr">
        <is>
          <t>Mod Aero</t>
        </is>
      </c>
      <c r="I7" s="42" t="inlineStr">
        <is>
          <t>Hi Aero</t>
        </is>
      </c>
      <c r="J7" s="43" t="inlineStr">
        <is>
          <t>Marathon</t>
        </is>
      </c>
      <c r="K7" s="44" t="inlineStr">
        <is>
          <t>1/2 Mar</t>
        </is>
      </c>
      <c r="L7" s="44" t="inlineStr">
        <is>
          <t>15k</t>
        </is>
      </c>
      <c r="M7" s="44" t="inlineStr">
        <is>
          <t>12k</t>
        </is>
      </c>
      <c r="N7" s="44" t="inlineStr">
        <is>
          <t>10k</t>
        </is>
      </c>
      <c r="O7" s="45" t="inlineStr">
        <is>
          <t>8k</t>
        </is>
      </c>
      <c r="P7" s="44" t="inlineStr">
        <is>
          <t>5k</t>
        </is>
      </c>
      <c r="Q7" s="46" t="inlineStr">
        <is>
          <t>3k</t>
        </is>
      </c>
      <c r="R7" s="47" t="inlineStr">
        <is>
          <t>1 Mile</t>
        </is>
      </c>
      <c r="S7" s="48" t="n"/>
      <c r="T7" s="792" t="n"/>
      <c r="U7" s="792" t="n"/>
    </row>
    <row customHeight="1" ht="13.5" r="8" s="663">
      <c r="B8" s="1083" t="inlineStr">
        <is>
          <t xml:space="preserve">Heart Rate Tweak </t>
        </is>
      </c>
      <c r="C8" s="1084" t="n"/>
      <c r="D8" s="1085">
        <f>IF(E6="Custom",S8,HLOOKUP(E6,J7:P8,2,0))</f>
        <v/>
      </c>
      <c r="E8" s="1086" t="n"/>
      <c r="F8" s="1087">
        <f>IF(E6="Custom",S9,HLOOKUP(E6,J7:P9,3,0))</f>
        <v/>
      </c>
      <c r="G8" s="1088" t="n"/>
      <c r="H8" s="767" t="inlineStr">
        <is>
          <t xml:space="preserve">Distance in Miles --&gt; </t>
        </is>
      </c>
      <c r="I8" s="1070" t="n"/>
      <c r="J8" s="1089">
        <f>J9/1609.344</f>
        <v/>
      </c>
      <c r="K8" s="1090">
        <f>K9/1609.344</f>
        <v/>
      </c>
      <c r="L8" s="1090">
        <f>L9/1609.344</f>
        <v/>
      </c>
      <c r="M8" s="1090">
        <f>M9/1609.344</f>
        <v/>
      </c>
      <c r="N8" s="1090">
        <f>N9/1609.344</f>
        <v/>
      </c>
      <c r="O8" s="1090">
        <f>O9/1609.344</f>
        <v/>
      </c>
      <c r="P8" s="1090">
        <f>P9/1609.344</f>
        <v/>
      </c>
      <c r="Q8" s="1091">
        <f>Q9/1609.344</f>
        <v/>
      </c>
      <c r="R8" s="1092" t="n">
        <v>1</v>
      </c>
      <c r="S8" s="1093">
        <f>IF($S$6=1,S5,S5/1.609344)</f>
        <v/>
      </c>
      <c r="T8" s="792" t="n"/>
      <c r="U8" s="792" t="n"/>
    </row>
    <row customHeight="1" ht="13.5" r="9" s="663" thickBot="1">
      <c r="B9" s="1094" t="inlineStr">
        <is>
          <t>1. Lower        2. Medium</t>
        </is>
      </c>
      <c r="C9" s="635" t="n"/>
      <c r="D9" s="1095">
        <f>IF($G$6&gt;0,0.8+0.1894393 * EXP(-0.012778*G6*1440)+0.2989558* EXP(-0.1932605*G6*1440),0)</f>
        <v/>
      </c>
      <c r="E9" s="1084" t="n"/>
      <c r="F9" s="54" t="n"/>
      <c r="G9" s="55" t="n"/>
      <c r="H9" s="774" t="inlineStr">
        <is>
          <t xml:space="preserve">Distance in Meters --&gt; </t>
        </is>
      </c>
      <c r="I9" s="1096" t="n"/>
      <c r="J9" s="1097" t="n">
        <v>42195</v>
      </c>
      <c r="K9" s="1098">
        <f>J9/2</f>
        <v/>
      </c>
      <c r="L9" s="1098" t="n">
        <v>15000</v>
      </c>
      <c r="M9" s="1098" t="n">
        <v>12000</v>
      </c>
      <c r="N9" s="1098" t="n">
        <v>10000</v>
      </c>
      <c r="O9" s="1098" t="n">
        <v>8000</v>
      </c>
      <c r="P9" s="1098" t="n">
        <v>5000</v>
      </c>
      <c r="Q9" s="1099" t="n">
        <v>3000</v>
      </c>
      <c r="R9" s="1100">
        <f>+R8*1609.344</f>
        <v/>
      </c>
      <c r="S9" s="1101">
        <f>IF($S$6=2,S5*1000,S5*1609.344)</f>
        <v/>
      </c>
      <c r="T9" s="792" t="n"/>
      <c r="U9" s="792" t="n"/>
    </row>
    <row customFormat="1" customHeight="1" ht="13.5" r="10" s="1065" thickBot="1">
      <c r="A10" s="1065" t="n"/>
      <c r="B10" s="62" t="inlineStr">
        <is>
          <t>3. Higher</t>
        </is>
      </c>
      <c r="C10" s="63" t="n">
        <v>1</v>
      </c>
      <c r="D10" s="64" t="n"/>
      <c r="E10" s="65" t="n"/>
      <c r="F10" s="776" t="inlineStr">
        <is>
          <t xml:space="preserve">Daniels' Calculated % of VO2max --&gt; </t>
        </is>
      </c>
      <c r="G10" s="712" t="n"/>
      <c r="H10" s="712" t="n"/>
      <c r="I10" s="712" t="n"/>
      <c r="J10" s="1102">
        <f>IF($G$6&gt;0,0.8+0.1894393 * EXP(-0.012778*J16*1440)+0.2989558* EXP(-0.1932605*J16*1440),0)</f>
        <v/>
      </c>
      <c r="K10" s="1103">
        <f>IF($G$6&gt;0,0.8+0.1894393 * EXP(-0.012778*K16*1440)+0.2989558* EXP(-0.1932605*K16*1440),0)</f>
        <v/>
      </c>
      <c r="L10" s="1103">
        <f>IF($G$6&gt;0,0.8+0.1894393 * EXP(-0.012778*L16*1440)+0.2989558* EXP(-0.1932605*L16*1440),0)</f>
        <v/>
      </c>
      <c r="M10" s="1103">
        <f>IF($G$6&gt;0,0.8+0.1894393 * EXP(-0.012778*M16*1440)+0.2989558* EXP(-0.1932605*M16*1440),0)</f>
        <v/>
      </c>
      <c r="N10" s="1103">
        <f>IF($G$6&gt;0,0.8+0.1894393 * EXP(-0.012778*N16*1440)+0.2989558* EXP(-0.1932605*N16*1440),0)</f>
        <v/>
      </c>
      <c r="O10" s="1103">
        <f>IF($G$6&gt;0,0.8+0.1894393 * EXP(-0.012778*O16*1440)+0.2989558* EXP(-0.1932605*O16*1440),0)</f>
        <v/>
      </c>
      <c r="P10" s="1103">
        <f>IF($G$6&gt;0,0.8+0.1894393 * EXP(-0.012778*P16*1440)+0.2989558* EXP(-0.1932605*P16*1440),0)</f>
        <v/>
      </c>
      <c r="Q10" s="1103">
        <f>IF($G$6&gt;0,0.8+0.1894393 * EXP(-0.012778*Q16*1440)+0.2989558* EXP(-0.1932605*Q16*1440),0)</f>
        <v/>
      </c>
      <c r="R10" s="1104">
        <f>IF($G$6&gt;0,0.8+0.1894393 * EXP(-0.012778*R16*1440)+0.2989558* EXP(-0.1932605*R16*1440),0)</f>
        <v/>
      </c>
      <c r="S10" s="1105">
        <f>IF($G$6&gt;0,0.8+0.1894393 * EXP(-0.012778*S16*1440)+0.2989558* EXP(-0.1932605*S16*1440),0)</f>
        <v/>
      </c>
      <c r="T10" s="792" t="n"/>
      <c r="U10" s="792" t="n"/>
    </row>
    <row customFormat="1" customHeight="1" ht="13.5" r="11" s="82">
      <c r="A11" s="82" t="n"/>
      <c r="B11" s="72" t="n"/>
      <c r="C11" s="73" t="inlineStr">
        <is>
          <t xml:space="preserve">% of HRmax </t>
        </is>
      </c>
      <c r="D11" s="1106" t="n">
        <v>0.65</v>
      </c>
      <c r="E11" s="1106" t="n">
        <v>0.7</v>
      </c>
      <c r="F11" s="1106" t="n">
        <v>0.725</v>
      </c>
      <c r="G11" s="1106" t="n">
        <v>0.75</v>
      </c>
      <c r="H11" s="1106">
        <f>G11+((J11-G11)*0.3333)</f>
        <v/>
      </c>
      <c r="I11" s="1107">
        <f>G11+((J11-G11)*0.6667)</f>
        <v/>
      </c>
      <c r="J11" s="1108">
        <f>MIN(1,IF($C$10=2,0.5+0.5*(J10-0.28)/0.72,IF($C$10=3,(0.6463*(J10*100)+37.182)/100,0.65+0.35*(J10-0.59)/0.41)))</f>
        <v/>
      </c>
      <c r="K11" s="1106">
        <f>MIN(1,IF($C$10=2,0.5+0.5*(K10-0.28)/0.72,IF($C$10=3,(0.6463*(K10*100)+37.182)/100,0.65+0.35*(K10-0.59)/0.41)))</f>
        <v/>
      </c>
      <c r="L11" s="1106">
        <f>MIN(1,IF($C$10=2,0.5+0.5*(L10-0.28)/0.72,IF($C$10=3,(0.6463*(L10*100)+37.182)/100,0.65+0.35*(L10-0.59)/0.41)))</f>
        <v/>
      </c>
      <c r="M11" s="1106">
        <f>MIN(1,IF($C$10=2,0.5+0.5*(M10-0.28)/0.72,IF($C$10=3,(0.6463*(M10*100)+37.182)/100,0.65+0.35*(M10-0.59)/0.41)))</f>
        <v/>
      </c>
      <c r="N11" s="1106">
        <f>MIN(1,IF($C$10=2,0.5+0.5*(N10-0.28)/0.72,IF($C$10=3,(0.6463*(N10*100)+37.182)/100,0.65+0.35*(N10-0.59)/0.41)))</f>
        <v/>
      </c>
      <c r="O11" s="1106">
        <f>MIN(1,IF($C$10=2,0.5+0.5*(O10-0.28)/0.72,IF($C$10=3,(0.6463*(O10*100)+37.182)/100,0.65+0.35*(O10-0.59)/0.41)))</f>
        <v/>
      </c>
      <c r="P11" s="1106">
        <f>MIN(1,IF($C$10=2,0.5+0.5*(P10-0.28)/0.72,IF($C$10=3,(0.6463*(P10*100)+37.182)/100,0.65+0.35*(P10-0.59)/0.41)))</f>
        <v/>
      </c>
      <c r="Q11" s="1106">
        <f>MIN(1,IF($C$10=2,0.5+0.5*(Q10-0.28)/0.72,IF($C$10=3,(0.6463*(Q10*100)+37.182)/100,0.65+0.35*(Q10-0.59)/0.41)))</f>
        <v/>
      </c>
      <c r="R11" s="1109">
        <f>MIN(1,IF($C$10=2,0.5+0.5*(R10-0.28)/0.72,IF($C$10=3,(0.6463*(R10*100)+37.182)/100,0.65+0.35*(R10-0.59)/0.41)))</f>
        <v/>
      </c>
      <c r="S11" s="1110">
        <f>MIN(1,IF($C$10=2,0.5+0.5*(S10-0.28)/0.72,IF($C$10=3,(0.6463*(S10*100)+37.182)/100,0.65+0.35*(S10-0.59)/0.41)))</f>
        <v/>
      </c>
      <c r="T11" s="792" t="n"/>
      <c r="U11" s="792" t="n"/>
      <c r="W11" s="1111" t="n"/>
      <c r="X11" s="80" t="n"/>
      <c r="Y11" s="81" t="n"/>
      <c r="AH11" s="1112" t="n"/>
    </row>
    <row customFormat="1" customHeight="1" ht="13.5" r="12" s="82" thickBot="1">
      <c r="A12" s="82" t="n"/>
      <c r="B12" s="719" t="n"/>
      <c r="C12" s="85" t="inlineStr">
        <is>
          <t>% of HR Reserve</t>
        </is>
      </c>
      <c r="D12" s="1113">
        <f>IF(AND($E$3&gt;0,$E$4&gt;0),(D13-$E$4)/($E$3-$E$4),"-")</f>
        <v/>
      </c>
      <c r="E12" s="1113">
        <f>IF(AND($E$3&gt;0,$E$4&gt;0),(E13-$E$4)/($E$3-$E$4),"-")</f>
        <v/>
      </c>
      <c r="F12" s="1113">
        <f>IF(AND($E$3&gt;0,$E$4&gt;0),(F13-$E$4)/($E$3-$E$4),"-")</f>
        <v/>
      </c>
      <c r="G12" s="1113">
        <f>IF(AND($E$3&gt;0,$E$4&gt;0),(G13-$E$4)/($E$3-$E$4),"-")</f>
        <v/>
      </c>
      <c r="H12" s="1113">
        <f>IF(AND($E$3&gt;0,$E$4&gt;0),(H13-$E$4)/($E$3-$E$4),"-")</f>
        <v/>
      </c>
      <c r="I12" s="1114">
        <f>IF(AND($E$3&gt;0,$E$4&gt;0),(I13-$E$4)/($E$3-$E$4),"-")</f>
        <v/>
      </c>
      <c r="J12" s="1115">
        <f>IF(AND($E$3&gt;0,$E$4&gt;0),(J13-$E$4)/($E$3-$E$4),"-")</f>
        <v/>
      </c>
      <c r="K12" s="1113">
        <f>IF(AND($E$3&gt;0,$E$4&gt;0),(K13-$E$4)/($E$3-$E$4),"-")</f>
        <v/>
      </c>
      <c r="L12" s="1113">
        <f>IF(AND($E$3&gt;0,$E$4&gt;0),(L13-$E$4)/($E$3-$E$4),"-")</f>
        <v/>
      </c>
      <c r="M12" s="1113">
        <f>IF(AND($E$3&gt;0,$E$4&gt;0),(M13-$E$4)/($E$3-$E$4),"-")</f>
        <v/>
      </c>
      <c r="N12" s="1113">
        <f>IF(AND($E$3&gt;0,$E$4&gt;0),(N13-$E$4)/($E$3-$E$4),"-")</f>
        <v/>
      </c>
      <c r="O12" s="1113">
        <f>IF(AND($E$3&gt;0,$E$4&gt;0),(O13-$E$4)/($E$3-$E$4),"-")</f>
        <v/>
      </c>
      <c r="P12" s="1113">
        <f>IF(AND($E$3&gt;0,$E$4&gt;0),(P13-$E$4)/($E$3-$E$4),"-")</f>
        <v/>
      </c>
      <c r="Q12" s="1113">
        <f>IF(AND($E$3&gt;0,$E$4&gt;0),(Q13-$E$4)/($E$3-$E$4),"-")</f>
        <v/>
      </c>
      <c r="R12" s="1116">
        <f>IF(AND($E$3&gt;0,$E$4&gt;0),(R13-$E$4)/($E$3-$E$4),"-")</f>
        <v/>
      </c>
      <c r="S12" s="1117">
        <f>IF(AND($E$3&gt;0,$E$4&gt;0),(S13-$E$4)/($E$3-$E$4),"-")</f>
        <v/>
      </c>
      <c r="T12" s="792" t="n"/>
      <c r="U12" s="792" t="n"/>
    </row>
    <row customFormat="1" customHeight="1" ht="13.5" r="13" s="82" thickBot="1">
      <c r="A13" s="82" t="n"/>
      <c r="B13" s="91" t="n"/>
      <c r="C13" s="92" t="inlineStr">
        <is>
          <t xml:space="preserve">Train / Race HR </t>
        </is>
      </c>
      <c r="D13" s="93">
        <f>IF($E$3&gt;0,D11*$E$3,"-")</f>
        <v/>
      </c>
      <c r="E13" s="93">
        <f>IF($E$3&gt;0,E11*$E$3,"-")</f>
        <v/>
      </c>
      <c r="F13" s="93">
        <f>IF($E$3&gt;0,F11*$E$3,"-")</f>
        <v/>
      </c>
      <c r="G13" s="93">
        <f>IF($E$3&gt;0,G11*$E$3,"-")</f>
        <v/>
      </c>
      <c r="H13" s="93">
        <f>IF($E$3&gt;0,H11*$E$3,"-")</f>
        <v/>
      </c>
      <c r="I13" s="94">
        <f>IF($E$3&gt;0,I11*$E$3,"-")</f>
        <v/>
      </c>
      <c r="J13" s="95">
        <f>IF($E$3&gt;0,J11*$E$3,"-")</f>
        <v/>
      </c>
      <c r="K13" s="93">
        <f>IF($E$3&gt;0,K11*$E$3,"-")</f>
        <v/>
      </c>
      <c r="L13" s="93">
        <f>IF($E$3&gt;0,L11*$E$3,"-")</f>
        <v/>
      </c>
      <c r="M13" s="93">
        <f>IF($E$3&gt;0,M11*$E$3,"-")</f>
        <v/>
      </c>
      <c r="N13" s="93">
        <f>IF($E$3&gt;0,N11*$E$3,"-")</f>
        <v/>
      </c>
      <c r="O13" s="93">
        <f>IF($E$3&gt;0,O11*$E$3,"-")</f>
        <v/>
      </c>
      <c r="P13" s="93">
        <f>IF($E$3&gt;0,P11*$E$3,"-")</f>
        <v/>
      </c>
      <c r="Q13" s="93">
        <f>IF($E$3&gt;0,Q11*$E$3,"-")</f>
        <v/>
      </c>
      <c r="R13" s="96">
        <f>IF($E$3&gt;0,R11*$E$3,"-")</f>
        <v/>
      </c>
      <c r="S13" s="97">
        <f>IF($E$3&gt;0,S11*$E$3,"-")</f>
        <v/>
      </c>
      <c r="T13" s="792" t="n"/>
      <c r="U13" s="792" t="n"/>
    </row>
    <row customFormat="1" customHeight="1" ht="13.5" r="14" s="82">
      <c r="A14" s="82" t="n"/>
      <c r="B14" s="98" t="n"/>
      <c r="C14" s="92" t="inlineStr">
        <is>
          <t xml:space="preserve">Pace / Mile </t>
        </is>
      </c>
      <c r="D14" s="99">
        <f>IF(AND($E$6&gt;0,$G$6&gt;0),(1/(29.54+5.000663*($I$6*(0.59+0.41*(D11-0.65)/0.35))-0.007546*($I$6*(0.59+0.41*(D11-0.65)/0.35))^2)*1609.344/1440),"-")</f>
        <v/>
      </c>
      <c r="E14" s="99">
        <f>IF(AND($E$6&gt;0,$G$6&gt;0),(1/(29.54+5.000663*($I$6*(0.59+0.41*(E11-0.65)/0.35))-0.007546*($I$6*(0.59+0.41*(E11-0.65)/0.35))^2)*1609.344/1440),"-")</f>
        <v/>
      </c>
      <c r="F14" s="99">
        <f>IF(AND($E$6&gt;0,$G$6&gt;0),(1/(29.54+5.000663*($I$6*(0.59+0.41*(F11-0.65)/0.35))-0.007546*($I$6*(0.59+0.41*(F11-0.65)/0.35))^2)*1609.344/1440),"-")</f>
        <v/>
      </c>
      <c r="G14" s="99">
        <f>IF(AND($E$6&gt;0,$G$6&gt;0),(1/(29.54+5.000663*($I$6*(0.59+0.41*(G11-0.65)/0.35))-0.007546*($I$6*(0.59+0.41*(G11-0.65)/0.35))^2)*1609.344/1440),"-")</f>
        <v/>
      </c>
      <c r="H14" s="99">
        <f>IF(AND($E$6&gt;0,$G$6&gt;0),G14+((J14-G14)*0.3333),"-")</f>
        <v/>
      </c>
      <c r="I14" s="100">
        <f>IF(AND($E$6&gt;0,$G$6&gt;0),G14+((J14-G14)*0.6667),"-")</f>
        <v/>
      </c>
      <c r="J14" s="101">
        <f>IF(AND($E$6&gt;0,$G$6&gt;0),J16/J8,"-")</f>
        <v/>
      </c>
      <c r="K14" s="99">
        <f>IF(AND($E$6&gt;0,$G$6&gt;0),K16/K8,"-")</f>
        <v/>
      </c>
      <c r="L14" s="99">
        <f>IF(AND($E$6&gt;0,$G$6&gt;0),L16/L8,"-")</f>
        <v/>
      </c>
      <c r="M14" s="99">
        <f>IF(AND($E$6&gt;0,$G$6&gt;0),M16/M8,"-")</f>
        <v/>
      </c>
      <c r="N14" s="99">
        <f>IF(AND($E$6&gt;0,$G$6&gt;0),N16/N8,"-")</f>
        <v/>
      </c>
      <c r="O14" s="99">
        <f>IF(AND($E$6&gt;0,$G$6&gt;0),O16/O8,"-")</f>
        <v/>
      </c>
      <c r="P14" s="99">
        <f>IF(AND($E$6&gt;0,$G$6&gt;0),P16/P8,"-")</f>
        <v/>
      </c>
      <c r="Q14" s="99">
        <f>IF(AND($E$6&gt;0,$G$6&gt;0),Q16/Q8,"-")</f>
        <v/>
      </c>
      <c r="R14" s="102">
        <f>IF(AND($E$6&gt;0,$G$6&gt;0),R16/R8,"-")</f>
        <v/>
      </c>
      <c r="S14" s="103">
        <f>IF(AND($E$6&gt;0,$G$6&gt;0),S16/S8,"-")</f>
        <v/>
      </c>
      <c r="T14" s="792" t="n"/>
      <c r="U14" s="792" t="n"/>
      <c r="AH14" s="1112" t="n"/>
    </row>
    <row customHeight="1" ht="13.5" r="15" s="663" thickBot="1">
      <c r="B15" s="98" t="n"/>
      <c r="C15" s="92" t="inlineStr">
        <is>
          <t xml:space="preserve">Pace / km </t>
        </is>
      </c>
      <c r="D15" s="104">
        <f>IF(D14&lt;&gt;"-",D14*0.621371192,"-")</f>
        <v/>
      </c>
      <c r="E15" s="104">
        <f>IF(E14&lt;&gt;"-",E14*0.621371192,"-")</f>
        <v/>
      </c>
      <c r="F15" s="105">
        <f>IF(F14&lt;&gt;"-",F14*0.621371192,"-")</f>
        <v/>
      </c>
      <c r="G15" s="105">
        <f>IF(G14&lt;&gt;"-",G14*0.621371192,"-")</f>
        <v/>
      </c>
      <c r="H15" s="105">
        <f>IF(H14&lt;&gt;"-",H14*0.621371192,"-")</f>
        <v/>
      </c>
      <c r="I15" s="106">
        <f>IF(I14&lt;&gt;"-",I14*0.621371192,"-")</f>
        <v/>
      </c>
      <c r="J15" s="107">
        <f>IF(J14&lt;&gt;"-",J14*0.621371192,"-")</f>
        <v/>
      </c>
      <c r="K15" s="105">
        <f>IF(K14&lt;&gt;"-",K14*0.621371192,"-")</f>
        <v/>
      </c>
      <c r="L15" s="105">
        <f>IF(L14&lt;&gt;"-",L14*0.621371192,"-")</f>
        <v/>
      </c>
      <c r="M15" s="105">
        <f>IF(M14&lt;&gt;"-",M14*0.621371192,"-")</f>
        <v/>
      </c>
      <c r="N15" s="105">
        <f>IF(N14&lt;&gt;"-",N14*0.621371192,"-")</f>
        <v/>
      </c>
      <c r="O15" s="105">
        <f>IF(O14&lt;&gt;"-",O14*0.621371192,"-")</f>
        <v/>
      </c>
      <c r="P15" s="105">
        <f>IF(P14&lt;&gt;"-",P14*0.621371192,"-")</f>
        <v/>
      </c>
      <c r="Q15" s="105">
        <f>IF(Q14&lt;&gt;"-",Q14*0.621371192,"-")</f>
        <v/>
      </c>
      <c r="R15" s="108">
        <f>IF(R14&lt;&gt;"-",R14*0.621371192,"-")</f>
        <v/>
      </c>
      <c r="S15" s="109">
        <f>IF(S14&lt;&gt;"-",S14*0.621371192,"-")</f>
        <v/>
      </c>
      <c r="T15" s="792" t="n"/>
      <c r="U15" s="792" t="n"/>
      <c r="V15" s="546" t="n"/>
      <c r="X15" s="546" t="n"/>
      <c r="AC15" s="546" t="n"/>
    </row>
    <row customHeight="1" ht="13.5" r="16" s="663" thickBot="1">
      <c r="B16" s="599" t="inlineStr">
        <is>
          <t>Points Grid</t>
        </is>
      </c>
      <c r="C16" s="600" t="n"/>
      <c r="D16" s="601" t="b">
        <v>0</v>
      </c>
      <c r="E16" s="602" t="b">
        <v>0</v>
      </c>
      <c r="F16" s="112" t="n"/>
      <c r="G16" s="660" t="n">
        <v>2</v>
      </c>
      <c r="H16" s="113" t="n"/>
      <c r="I16" s="114" t="inlineStr">
        <is>
          <t>Race Projections --&gt;</t>
        </is>
      </c>
      <c r="J16" s="115">
        <f>IF(AND($E$6&gt;0,$G$6&gt;0),IF($G$16=1,(1/(29.54+5.000663*($I$6*(J10))-0.007546*($I$6*(J10))^2)/1440)*J9,$G$6*(J8/$D$8)^1.06),"-")</f>
        <v/>
      </c>
      <c r="K16" s="116">
        <f>IF(AND($E$6&gt;0,$G$6&gt;0),IF($G$16=1,(1/(29.54+5.000663*($I$6*(K10))-0.007546*($I$6*(K10))^2)/1440)*K9,$G$6*(K8/$D$8)^1.06),"-")</f>
        <v/>
      </c>
      <c r="L16" s="116">
        <f>IF(AND($E$6&gt;0,$G$6&gt;0),IF($G$16=1,(1/(29.54+5.000663*($I$6*(L10))-0.007546*($I$6*(L10))^2)/1440)*L9,$G$6*(L8/$D$8)^1.06),"-")</f>
        <v/>
      </c>
      <c r="M16" s="116">
        <f>IF(AND($E$6&gt;0,$G$6&gt;0),IF($G$16=1,(1/(29.54+5.000663*($I$6*(M10))-0.007546*($I$6*(M10))^2)/1440)*M9,$G$6*(M8/$D$8)^1.06),"-")</f>
        <v/>
      </c>
      <c r="N16" s="116">
        <f>IF(AND($E$6&gt;0,$G$6&gt;0),IF($G$16=1,(1/(29.54+5.000663*($I$6*(N10))-0.007546*($I$6*(N10))^2)/1440)*N9,$G$6*(N8/$D$8)^1.06),"-")</f>
        <v/>
      </c>
      <c r="O16" s="116">
        <f>IF(AND($E$6&gt;0,$G$6&gt;0),IF($G$16=1,(1/(29.54+5.000663*($I$6*(O10))-0.007546*($I$6*(O10))^2)/1440)*O9,$G$6*(O8/$D$8)^1.06),"-")</f>
        <v/>
      </c>
      <c r="P16" s="116">
        <f>IF(AND($E$6&gt;0,$G$6&gt;0),IF($G$16=1,(1/(29.54+5.000663*($I$6*(P10))-0.007546*($I$6*(P10))^2)/1440)*P9,$G$6*(P8/$D$8)^1.06),"-")</f>
        <v/>
      </c>
      <c r="Q16" s="116">
        <f>IF(AND($E$6&gt;0,$G$6&gt;0),IF($G$16=1,(1/(29.54+5.000663*($I$6*(Q10))-0.007546*($I$6*(Q10))^2)/1440)*Q9,$G$6*(Q8/$D$8)^1.06),"-")</f>
        <v/>
      </c>
      <c r="R16" s="117">
        <f>IF(AND($E$6&gt;0,$G$6&gt;0),IF($G$16=1,(1/(29.54+5.000663*($I$6*(R10))-0.007546*($I$6*(R10))^2)/1440)*R9,$G$6*(R8/$D$8)^1.06),"-")</f>
        <v/>
      </c>
      <c r="S16" s="118">
        <f>IF(AND($E$6&gt;0,$G$6&gt;0),IF($G$16=1,(1/(29.54+5.000663*($I$6*(S10))-0.007546*($I$6*(S10))^2)/1440)*S9,$G$6*(S8/$D$8)^1.06),"-")</f>
        <v/>
      </c>
      <c r="T16" s="792" t="n"/>
      <c r="U16" s="792" t="n"/>
      <c r="AC16" s="546" t="n"/>
      <c r="AH16" s="1118" t="n"/>
    </row>
    <row customHeight="1" ht="13.5" r="17" s="663" thickBot="1" thickTop="1">
      <c r="B17" s="120" t="n"/>
      <c r="C17" s="120" t="n"/>
      <c r="D17" s="120" t="n"/>
      <c r="E17" s="120" t="n"/>
      <c r="F17" s="120" t="n"/>
      <c r="G17" s="120" t="n"/>
      <c r="H17" s="777" t="inlineStr">
        <is>
          <t>Distance Based Intensity Points Grid (Daniels)</t>
        </is>
      </c>
      <c r="I17" s="507" t="n"/>
      <c r="J17" s="507" t="n"/>
      <c r="K17" s="507" t="n"/>
      <c r="L17" s="507" t="n"/>
      <c r="M17" s="121" t="inlineStr">
        <is>
          <t>*These calcs based on performance entered above</t>
        </is>
      </c>
      <c r="N17" s="121" t="n"/>
      <c r="O17" s="121" t="n"/>
      <c r="P17" s="120" t="n"/>
      <c r="Q17" s="120" t="n"/>
      <c r="R17" s="1067" t="n"/>
      <c r="S17" s="1067" t="n"/>
      <c r="T17" s="1065" t="n"/>
      <c r="U17" s="1065" t="n"/>
      <c r="W17" s="124" t="n"/>
      <c r="X17" s="125" t="n"/>
    </row>
    <row customHeight="1" ht="13.5" r="18" s="663" thickBot="1" thickTop="1">
      <c r="B18" s="126" t="n"/>
      <c r="C18" s="127" t="inlineStr">
        <is>
          <t xml:space="preserve">Points Factor </t>
        </is>
      </c>
      <c r="D18" s="1119">
        <f>LOOKUP(((0.182258*(1/(D14*1440)*1609.344)+(0.000104*(1/(D14*1440)*1609.344)^2)-4.6)/$I$6),$W$125:$W$204,$Y$125:$Y$204)</f>
        <v/>
      </c>
      <c r="E18" s="1120">
        <f>LOOKUP(((0.182258*(1/(E14*1440)*1609.344)+(0.000104*(1/(E14*1440)*1609.344)^2)-4.6)/$I$6),$W$125:$W$204,$Y$125:$Y$204)</f>
        <v/>
      </c>
      <c r="F18" s="1121">
        <f>LOOKUP(((0.182258*(1/(F14*1440)*1609.344)+(0.000104*(1/(F14*1440)*1609.344)^2)-4.6)/$I$6),$W$125:$W$204,$Y$125:$Y$204)</f>
        <v/>
      </c>
      <c r="G18" s="1122">
        <f>LOOKUP(((0.182258*(1/(G14*1440)*1609.344)+(0.000104*(1/(G14*1440)*1609.344)^2)-4.6)/$I$6),$W$125:$W$204,$Y$125:$Y$204)</f>
        <v/>
      </c>
      <c r="H18" s="1120">
        <f>LOOKUP(((0.182258*(1/(H14*1440)*1609.344)+(0.000104*(1/(H14*1440)*1609.344)^2)-4.6)/$I$6),$W$125:$W$204,$Y$125:$Y$204)</f>
        <v/>
      </c>
      <c r="I18" s="1123">
        <f>LOOKUP(((0.182258*(1/(I14*1440)*1609.344)+(0.000104*(1/(I14*1440)*1609.344)^2)-4.6)/$I$6),$W$125:$W$204,$Y$125:$Y$204)</f>
        <v/>
      </c>
      <c r="J18" s="1124">
        <f>LOOKUP(((0.182258*(1/(J14*1440)*1609.344)+(0.000104*(1/(J14*1440)*1609.344)^2)-4.6)/$I$6),$W$125:$W$204,$Y$125:$Y$204)</f>
        <v/>
      </c>
      <c r="K18" s="1120">
        <f>LOOKUP(((0.182258*(1/(K14*1440)*1609.344)+(0.000104*(1/(K14*1440)*1609.344)^2)-4.6)/$I$6),$W$125:$W$204,$Y$125:$Y$204)</f>
        <v/>
      </c>
      <c r="L18" s="1121">
        <f>LOOKUP(((0.182258*(1/(L14*1440)*1609.344)+(0.000104*(1/(L14*1440)*1609.344)^2)-4.6)/$I$6),$W$125:$W$204,$Y$125:$Y$204)</f>
        <v/>
      </c>
      <c r="M18" s="1121">
        <f>LOOKUP(((0.182258*(1/(M14*1440)*1609.344)+(0.000104*(1/(M14*1440)*1609.344)^2)-4.6)/$I$6),$W$125:$W$204,$Y$125:$Y$204)</f>
        <v/>
      </c>
      <c r="N18" s="1122">
        <f>LOOKUP(((0.182258*(1/(N14*1440)*1609.344)+(0.000104*(1/(N14*1440)*1609.344)^2)-4.6)/$I$6),$W$125:$W$204,$Y$125:$Y$204)</f>
        <v/>
      </c>
      <c r="O18" s="1119">
        <f>LOOKUP(((0.182258*(1/(O14*1440)*1609.344)+(0.000104*(1/(O14*1440)*1609.344)^2)-4.6)/$I$6),$W$125:$W$204,$Y$125:$Y$204)</f>
        <v/>
      </c>
      <c r="P18" s="1120">
        <f>LOOKUP(((0.182258*(1/(P14*1440)*1609.344)+(0.000104*(1/(P14*1440)*1609.344)^2)-4.6)/$I$6),$W$125:$W$204,$Y$125:$Y$204)</f>
        <v/>
      </c>
      <c r="Q18" s="1122">
        <f>LOOKUP(((0.182258*(1/(Q14*1440)*1609.344)+(0.000104*(1/(Q14*1440)*1609.344)^2)-4.6)/$I$6),$W$125:$W$204,$Y$125:$Y$204)</f>
        <v/>
      </c>
      <c r="R18" s="1125">
        <f>LOOKUP(((0.182258*(1/(R14*1440)*1609.344)+(0.000104*(1/(R14*1440)*1609.344)^2)-4.6)/$I$6),$W$125:$W$204,$Y$125:$Y$204)</f>
        <v/>
      </c>
      <c r="S18" s="1065" t="n"/>
      <c r="T18" s="1065" t="n"/>
      <c r="U18" s="1065" t="n"/>
      <c r="X18" s="125" t="n"/>
    </row>
    <row customHeight="1" ht="13.5" r="19" s="663">
      <c r="B19" s="135">
        <f>IF(AND($D$16,$E$16),2,1)</f>
        <v/>
      </c>
      <c r="C19" s="136">
        <f>IF($D$16,"KM ","Mile ")</f>
        <v/>
      </c>
      <c r="D19" s="1126">
        <f>IF(AND(D$18&lt;&gt;"-",AND(D$14&lt;&gt;"-",D$14&lt;&gt;0)),$B19*D$18*(IF($D$16,D$15,D$14)*1440),"-")</f>
        <v/>
      </c>
      <c r="E19" s="1127">
        <f>IF(AND(E$18&lt;&gt;"-",AND(E$14&lt;&gt;"-",E$14&lt;&gt;0)),$B19*E$18*(IF($D$16,E$15,E$14)*1440),"-")</f>
        <v/>
      </c>
      <c r="F19" s="1128">
        <f>IF(AND(F$18&lt;&gt;"-",AND(F$14&lt;&gt;"-",F$14&lt;&gt;0)),$B19*F$18*(IF($D$16,F$15,F$14)*1440),"-")</f>
        <v/>
      </c>
      <c r="G19" s="1129">
        <f>IF(AND(G$18&lt;&gt;"-",AND(G$14&lt;&gt;"-",G$14&lt;&gt;0)),$B19*G$18*(IF($D$16,G$15,G$14)*1440),"-")</f>
        <v/>
      </c>
      <c r="H19" s="1130">
        <f>IF(AND(H$18&lt;&gt;"-",AND(H$14&lt;&gt;"-",H$14&lt;&gt;0)),$B19*H$18*(IF($D$16,H$15,H$14)*1440),"-")</f>
        <v/>
      </c>
      <c r="I19" s="1131">
        <f>IF(AND(I$18&lt;&gt;"-",AND(I$14&lt;&gt;"-",I$14&lt;&gt;0)),$B19*I$18*(IF($D$16,I$15,I$14)*1440),"-")</f>
        <v/>
      </c>
      <c r="J19" s="1132">
        <f>IF(AND(J$18&lt;&gt;"-",AND(J$14&lt;&gt;"-",J$14&lt;&gt;0)),$B19*J$18*(IF($D$16,J$15,J$14)*1440),"-")</f>
        <v/>
      </c>
      <c r="K19" s="1133">
        <f>IF(AND(K$18&lt;&gt;"-",AND(K$14&lt;&gt;"-",K$14&lt;&gt;0)),$B19*K$18*(IF($D$16,K$15,K$14)*1440),"-")</f>
        <v/>
      </c>
      <c r="L19" s="1134">
        <f>IF(AND(L$18&lt;&gt;"-",AND(L$14&lt;&gt;"-",L$14&lt;&gt;0)),$B19*L$18*(IF($D$16,L$15,L$14)*1440),"-")</f>
        <v/>
      </c>
      <c r="M19" s="1134">
        <f>IF(AND(M$18&lt;&gt;"-",AND(M$14&lt;&gt;"-",M$14&lt;&gt;0)),$B19*M$18*(IF($D$16,M$15,M$14)*1440),"-")</f>
        <v/>
      </c>
      <c r="N19" s="1135">
        <f>IF(AND(N$18&lt;&gt;"-",AND(N$14&lt;&gt;"-",N$14&lt;&gt;0)),$B19*N$18*(IF($D$16,N$15,N$14)*1440),"-")</f>
        <v/>
      </c>
      <c r="O19" s="1136">
        <f>IF(AND(O$18&lt;&gt;"-",AND(O$14&lt;&gt;"-",O$14&lt;&gt;0)),$B19*O$18*(IF($D$16,O$15,O$14)*1440),"-")</f>
        <v/>
      </c>
      <c r="P19" s="1137">
        <f>IF(AND(P$18&lt;&gt;"-",AND(P$14&lt;&gt;"-",P$14&lt;&gt;0)),$B19*P$18*(IF($D$16,P$15,P$14)*1440),"-")</f>
        <v/>
      </c>
      <c r="Q19" s="1138">
        <f>IF(AND(Q$18&lt;&gt;"-",AND(Q$14&lt;&gt;"-",Q$14&lt;&gt;0)),$B19*Q$18*(IF($D$16,Q$15,Q$14)*1440),"-")</f>
        <v/>
      </c>
      <c r="R19" s="1139">
        <f>IF(AND(R$18&lt;&gt;"-",AND(R$14&lt;&gt;"-",R$14&lt;&gt;0)),$B19*R$18*(IF($D$16,R$15,R$14)*1440),"-")</f>
        <v/>
      </c>
      <c r="S19" s="1065" t="n"/>
      <c r="T19" s="1065" t="n"/>
      <c r="U19" s="1065" t="n"/>
      <c r="X19" s="125" t="n"/>
    </row>
    <row customHeight="1" ht="13.5" r="20" s="663">
      <c r="B20" s="135">
        <f>IF(AND($D$16,$E$16),B19+2,B19+1)</f>
        <v/>
      </c>
      <c r="C20" s="136">
        <f>IF($D$16,"KM ","Miles ")</f>
        <v/>
      </c>
      <c r="D20" s="1126">
        <f>IF(AND(D$18&lt;&gt;"-",AND(D$14&lt;&gt;"-",D$14&lt;&gt;0)),$B20*D$18*(IF($D$16,D$15,D$14)*1440),"-")</f>
        <v/>
      </c>
      <c r="E20" s="1140">
        <f>IF(AND(E$18&lt;&gt;"-",AND(E$14&lt;&gt;"-",E$14&lt;&gt;0)),$B20*E$18*(IF($D$16,E$15,E$14)*1440),"-")</f>
        <v/>
      </c>
      <c r="F20" s="1141">
        <f>IF(AND(F$18&lt;&gt;"-",AND(F$14&lt;&gt;"-",F$14&lt;&gt;0)),$B20*F$18*(IF($D$16,F$15,F$14)*1440),"-")</f>
        <v/>
      </c>
      <c r="G20" s="1142">
        <f>IF(AND(G$18&lt;&gt;"-",AND(G$14&lt;&gt;"-",G$14&lt;&gt;0)),$B20*G$18*(IF($D$16,G$15,G$14)*1440),"-")</f>
        <v/>
      </c>
      <c r="H20" s="1143">
        <f>IF(AND(H$18&lt;&gt;"-",AND(H$14&lt;&gt;"-",H$14&lt;&gt;0)),$B20*H$18*(IF($D$16,H$15,H$14)*1440),"-")</f>
        <v/>
      </c>
      <c r="I20" s="1144">
        <f>IF(AND(I$18&lt;&gt;"-",AND(I$14&lt;&gt;"-",I$14&lt;&gt;0)),$B20*I$18*(IF($D$16,I$15,I$14)*1440),"-")</f>
        <v/>
      </c>
      <c r="J20" s="1145">
        <f>IF(AND(J$18&lt;&gt;"-",AND(J$14&lt;&gt;"-",J$14&lt;&gt;0)),$B20*J$18*(IF($D$16,J$15,J$14)*1440),"-")</f>
        <v/>
      </c>
      <c r="K20" s="1146">
        <f>IF(AND(K$18&lt;&gt;"-",AND(K$14&lt;&gt;"-",K$14&lt;&gt;0)),$B20*K$18*(IF($D$16,K$15,K$14)*1440),"-")</f>
        <v/>
      </c>
      <c r="L20" s="1147">
        <f>IF(AND(L$18&lt;&gt;"-",AND(L$14&lt;&gt;"-",L$14&lt;&gt;0)),$B20*L$18*(IF($D$16,L$15,L$14)*1440),"-")</f>
        <v/>
      </c>
      <c r="M20" s="1147">
        <f>IF(AND(M$18&lt;&gt;"-",AND(M$14&lt;&gt;"-",M$14&lt;&gt;0)),$B20*M$18*(IF($D$16,M$15,M$14)*1440),"-")</f>
        <v/>
      </c>
      <c r="N20" s="1148">
        <f>IF(AND(N$18&lt;&gt;"-",AND(N$14&lt;&gt;"-",N$14&lt;&gt;0)),$B20*N$18*(IF($D$16,N$15,N$14)*1440),"-")</f>
        <v/>
      </c>
      <c r="O20" s="1149">
        <f>IF(AND(O$18&lt;&gt;"-",AND(O$14&lt;&gt;"-",O$14&lt;&gt;0)),$B20*O$18*(IF($D$16,O$15,O$14)*1440),"-")</f>
        <v/>
      </c>
      <c r="P20" s="1150">
        <f>IF(AND(P$18&lt;&gt;"-",AND(P$14&lt;&gt;"-",P$14&lt;&gt;0)),$B20*P$18*(IF($D$16,P$15,P$14)*1440),"-")</f>
        <v/>
      </c>
      <c r="Q20" s="1151">
        <f>IF(AND(Q$18&lt;&gt;"-",AND(Q$14&lt;&gt;"-",Q$14&lt;&gt;0)),$B20*Q$18*(IF($D$16,Q$15,Q$14)*1440),"-")</f>
        <v/>
      </c>
      <c r="R20" s="1152">
        <f>IF(AND(R$18&lt;&gt;"-",AND(R$14&lt;&gt;"-",R$14&lt;&gt;0)),$B20*R$18*(IF($D$16,R$15,R$14)*1440),"-")</f>
        <v/>
      </c>
      <c r="S20" s="1065" t="n"/>
      <c r="T20" s="1065" t="n"/>
      <c r="U20" s="1065" t="n"/>
      <c r="V20" t="inlineStr">
        <is>
          <t>something</t>
        </is>
      </c>
      <c r="W20" s="1065" t="n"/>
      <c r="X20" s="1065" t="n"/>
      <c r="Y20" s="1065" t="n"/>
      <c r="Z20" s="1065" t="n"/>
      <c r="AC20" s="125" t="n"/>
    </row>
    <row customHeight="1" ht="13.5" r="21" s="663">
      <c r="B21" s="135">
        <f>IF(AND($D$16,$E$16),B20+2,B20+1)</f>
        <v/>
      </c>
      <c r="C21" s="136">
        <f>IF($D$16,"KM ","Miles ")</f>
        <v/>
      </c>
      <c r="D21" s="1126">
        <f>IF(AND(D$18&lt;&gt;"-",AND(D$14&lt;&gt;"-",D$14&lt;&gt;0)),$B21*D$18*(IF($D$16,D$15,D$14)*1440),"-")</f>
        <v/>
      </c>
      <c r="E21" s="1140">
        <f>IF(AND(E$18&lt;&gt;"-",AND(E$14&lt;&gt;"-",E$14&lt;&gt;0)),$B21*E$18*(IF($D$16,E$15,E$14)*1440),"-")</f>
        <v/>
      </c>
      <c r="F21" s="1141">
        <f>IF(AND(F$18&lt;&gt;"-",AND(F$14&lt;&gt;"-",F$14&lt;&gt;0)),$B21*F$18*(IF($D$16,F$15,F$14)*1440),"-")</f>
        <v/>
      </c>
      <c r="G21" s="1142">
        <f>IF(AND(G$18&lt;&gt;"-",AND(G$14&lt;&gt;"-",G$14&lt;&gt;0)),$B21*G$18*(IF($D$16,G$15,G$14)*1440),"-")</f>
        <v/>
      </c>
      <c r="H21" s="1143">
        <f>IF(AND(H$18&lt;&gt;"-",AND(H$14&lt;&gt;"-",H$14&lt;&gt;0)),$B21*H$18*(IF($D$16,H$15,H$14)*1440),"-")</f>
        <v/>
      </c>
      <c r="I21" s="1144">
        <f>IF(AND(I$18&lt;&gt;"-",AND(I$14&lt;&gt;"-",I$14&lt;&gt;0)),$B21*I$18*(IF($D$16,I$15,I$14)*1440),"-")</f>
        <v/>
      </c>
      <c r="J21" s="1145">
        <f>IF(AND(J$18&lt;&gt;"-",AND(J$14&lt;&gt;"-",J$14&lt;&gt;0)),$B21*J$18*(IF($D$16,J$15,J$14)*1440),"-")</f>
        <v/>
      </c>
      <c r="K21" s="1146">
        <f>IF(AND(K$18&lt;&gt;"-",AND(K$14&lt;&gt;"-",K$14&lt;&gt;0)),$B21*K$18*(IF($D$16,K$15,K$14)*1440),"-")</f>
        <v/>
      </c>
      <c r="L21" s="1147">
        <f>IF(AND(L$18&lt;&gt;"-",AND(L$14&lt;&gt;"-",L$14&lt;&gt;0)),$B21*L$18*(IF($D$16,L$15,L$14)*1440),"-")</f>
        <v/>
      </c>
      <c r="M21" s="1147">
        <f>IF(AND(M$18&lt;&gt;"-",AND(M$14&lt;&gt;"-",M$14&lt;&gt;0)),$B21*M$18*(IF($D$16,M$15,M$14)*1440),"-")</f>
        <v/>
      </c>
      <c r="N21" s="1148">
        <f>IF(AND(N$18&lt;&gt;"-",AND(N$14&lt;&gt;"-",N$14&lt;&gt;0)),$B21*N$18*(IF($D$16,N$15,N$14)*1440),"-")</f>
        <v/>
      </c>
      <c r="O21" s="1149">
        <f>IF(AND(O$18&lt;&gt;"-",AND(O$14&lt;&gt;"-",O$14&lt;&gt;0)),$B21*O$18*(IF($D$16,O$15,O$14)*1440),"-")</f>
        <v/>
      </c>
      <c r="P21" s="1150">
        <f>IF(AND(P$18&lt;&gt;"-",AND(P$14&lt;&gt;"-",P$14&lt;&gt;0)),$B21*P$18*(IF($D$16,P$15,P$14)*1440),"-")</f>
        <v/>
      </c>
      <c r="Q21" s="1151">
        <f>IF(AND(Q$18&lt;&gt;"-",AND(Q$14&lt;&gt;"-",Q$14&lt;&gt;0)),$B21*Q$18*(IF($D$16,Q$15,Q$14)*1440),"-")</f>
        <v/>
      </c>
      <c r="R21" s="1152">
        <f>IF(AND(R$18&lt;&gt;"-",AND(R$14&lt;&gt;"-",R$14&lt;&gt;0)),$B21*R$18*(IF($D$16,R$15,R$14)*1440),"-")</f>
        <v/>
      </c>
      <c r="S21" s="1065" t="n"/>
      <c r="T21" s="1065" t="n"/>
      <c r="U21" s="1065" t="n"/>
      <c r="W21" s="1153" t="n"/>
      <c r="X21" s="1153" t="n"/>
      <c r="Y21" s="1153" t="n"/>
      <c r="Z21" s="1153" t="n"/>
      <c r="AA21" s="1153" t="n"/>
    </row>
    <row customHeight="1" ht="13.5" r="22" s="663">
      <c r="B22" s="135">
        <f>IF(AND($D$16,$E$16),B21+2,B21+1)</f>
        <v/>
      </c>
      <c r="C22" s="136">
        <f>IF($D$16,"KM ","Miles ")</f>
        <v/>
      </c>
      <c r="D22" s="1126">
        <f>IF(AND(D$18&lt;&gt;"-",AND(D$14&lt;&gt;"-",D$14&lt;&gt;0)),$B22*D$18*(IF($D$16,D$15,D$14)*1440),"-")</f>
        <v/>
      </c>
      <c r="E22" s="1140">
        <f>IF(AND(E$18&lt;&gt;"-",AND(E$14&lt;&gt;"-",E$14&lt;&gt;0)),$B22*E$18*(IF($D$16,E$15,E$14)*1440),"-")</f>
        <v/>
      </c>
      <c r="F22" s="1141">
        <f>IF(AND(F$18&lt;&gt;"-",AND(F$14&lt;&gt;"-",F$14&lt;&gt;0)),$B22*F$18*(IF($D$16,F$15,F$14)*1440),"-")</f>
        <v/>
      </c>
      <c r="G22" s="1142">
        <f>IF(AND(G$18&lt;&gt;"-",AND(G$14&lt;&gt;"-",G$14&lt;&gt;0)),$B22*G$18*(IF($D$16,G$15,G$14)*1440),"-")</f>
        <v/>
      </c>
      <c r="H22" s="1143">
        <f>IF(AND(H$18&lt;&gt;"-",AND(H$14&lt;&gt;"-",H$14&lt;&gt;0)),$B22*H$18*(IF($D$16,H$15,H$14)*1440),"-")</f>
        <v/>
      </c>
      <c r="I22" s="1144">
        <f>IF(AND(I$18&lt;&gt;"-",AND(I$14&lt;&gt;"-",I$14&lt;&gt;0)),$B22*I$18*(IF($D$16,I$15,I$14)*1440),"-")</f>
        <v/>
      </c>
      <c r="J22" s="1145">
        <f>IF(AND(J$18&lt;&gt;"-",AND(J$14&lt;&gt;"-",J$14&lt;&gt;0)),$B22*J$18*(IF($D$16,J$15,J$14)*1440),"-")</f>
        <v/>
      </c>
      <c r="K22" s="1146">
        <f>IF(AND(K$18&lt;&gt;"-",AND(K$14&lt;&gt;"-",K$14&lt;&gt;0)),$B22*K$18*(IF($D$16,K$15,K$14)*1440),"-")</f>
        <v/>
      </c>
      <c r="L22" s="1147">
        <f>IF(AND(L$18&lt;&gt;"-",AND(L$14&lt;&gt;"-",L$14&lt;&gt;0)),$B22*L$18*(IF($D$16,L$15,L$14)*1440),"-")</f>
        <v/>
      </c>
      <c r="M22" s="1147">
        <f>IF(AND(M$18&lt;&gt;"-",AND(M$14&lt;&gt;"-",M$14&lt;&gt;0)),$B22*M$18*(IF($D$16,M$15,M$14)*1440),"-")</f>
        <v/>
      </c>
      <c r="N22" s="1148">
        <f>IF(AND(N$18&lt;&gt;"-",AND(N$14&lt;&gt;"-",N$14&lt;&gt;0)),$B22*N$18*(IF($D$16,N$15,N$14)*1440),"-")</f>
        <v/>
      </c>
      <c r="O22" s="1149">
        <f>IF(AND(O$18&lt;&gt;"-",AND(O$14&lt;&gt;"-",O$14&lt;&gt;0)),$B22*O$18*(IF($D$16,O$15,O$14)*1440),"-")</f>
        <v/>
      </c>
      <c r="P22" s="1150">
        <f>IF(AND(P$18&lt;&gt;"-",AND(P$14&lt;&gt;"-",P$14&lt;&gt;0)),$B22*P$18*(IF($D$16,P$15,P$14)*1440),"-")</f>
        <v/>
      </c>
      <c r="Q22" s="1151">
        <f>IF(AND(Q$18&lt;&gt;"-",AND(Q$14&lt;&gt;"-",Q$14&lt;&gt;0)),$B22*Q$18*(IF($D$16,Q$15,Q$14)*1440),"-")</f>
        <v/>
      </c>
      <c r="R22" s="1152">
        <f>IF(AND(R$18&lt;&gt;"-",AND(R$14&lt;&gt;"-",R$14&lt;&gt;0)),$B22*R$18*(IF($D$16,R$15,R$14)*1440),"-")</f>
        <v/>
      </c>
      <c r="S22" s="1065" t="n"/>
      <c r="T22" s="1065" t="n"/>
      <c r="U22" s="1065" t="n"/>
      <c r="W22" s="1154" t="n"/>
      <c r="X22" s="1155" t="n"/>
      <c r="Y22" s="1155" t="n"/>
      <c r="Z22" s="1155" t="n"/>
      <c r="AA22" s="1155" t="n"/>
    </row>
    <row customHeight="1" ht="13.5" r="23" s="663" thickBot="1">
      <c r="B23" s="170">
        <f>IF(AND($D$16,$E$16),B22+2,B22+1)</f>
        <v/>
      </c>
      <c r="C23" s="171">
        <f>IF($D$16,"KM ","Miles ")</f>
        <v/>
      </c>
      <c r="D23" s="1156">
        <f>IF(AND(D$18&lt;&gt;"-",AND(D$14&lt;&gt;"-",D$14&lt;&gt;0)),$B23*D$18*(IF($D$16,D$15,D$14)*1440),"-")</f>
        <v/>
      </c>
      <c r="E23" s="1157">
        <f>IF(AND(E$18&lt;&gt;"-",AND(E$14&lt;&gt;"-",E$14&lt;&gt;0)),$B23*E$18*(IF($D$16,E$15,E$14)*1440),"-")</f>
        <v/>
      </c>
      <c r="F23" s="1158">
        <f>IF(AND(F$18&lt;&gt;"-",AND(F$14&lt;&gt;"-",F$14&lt;&gt;0)),$B23*F$18*(IF($D$16,F$15,F$14)*1440),"-")</f>
        <v/>
      </c>
      <c r="G23" s="1159">
        <f>IF(AND(G$18&lt;&gt;"-",AND(G$14&lt;&gt;"-",G$14&lt;&gt;0)),$B23*G$18*(IF($D$16,G$15,G$14)*1440),"-")</f>
        <v/>
      </c>
      <c r="H23" s="1160">
        <f>IF(AND(H$18&lt;&gt;"-",AND(H$14&lt;&gt;"-",H$14&lt;&gt;0)),$B23*H$18*(IF($D$16,H$15,H$14)*1440),"-")</f>
        <v/>
      </c>
      <c r="I23" s="1161">
        <f>IF(AND(I$18&lt;&gt;"-",AND(I$14&lt;&gt;"-",I$14&lt;&gt;0)),$B23*I$18*(IF($D$16,I$15,I$14)*1440),"-")</f>
        <v/>
      </c>
      <c r="J23" s="1162">
        <f>IF(AND(J$18&lt;&gt;"-",AND(J$14&lt;&gt;"-",J$14&lt;&gt;0)),$B23*J$18*(IF($D$16,J$15,J$14)*1440),"-")</f>
        <v/>
      </c>
      <c r="K23" s="1163">
        <f>IF(AND(K$18&lt;&gt;"-",AND(K$14&lt;&gt;"-",K$14&lt;&gt;0)),$B23*K$18*(IF($D$16,K$15,K$14)*1440),"-")</f>
        <v/>
      </c>
      <c r="L23" s="1164">
        <f>IF(AND(L$18&lt;&gt;"-",AND(L$14&lt;&gt;"-",L$14&lt;&gt;0)),$B23*L$18*(IF($D$16,L$15,L$14)*1440),"-")</f>
        <v/>
      </c>
      <c r="M23" s="1164">
        <f>IF(AND(M$18&lt;&gt;"-",AND(M$14&lt;&gt;"-",M$14&lt;&gt;0)),$B23*M$18*(IF($D$16,M$15,M$14)*1440),"-")</f>
        <v/>
      </c>
      <c r="N23" s="1165">
        <f>IF(AND(N$18&lt;&gt;"-",AND(N$14&lt;&gt;"-",N$14&lt;&gt;0)),$B23*N$18*(IF($D$16,N$15,N$14)*1440),"-")</f>
        <v/>
      </c>
      <c r="O23" s="1166">
        <f>IF(AND(O$18&lt;&gt;"-",AND(O$14&lt;&gt;"-",O$14&lt;&gt;0)),$B23*O$18*(IF($D$16,O$15,O$14)*1440),"-")</f>
        <v/>
      </c>
      <c r="P23" s="1167">
        <f>IF(AND(P$18&lt;&gt;"-",AND(P$14&lt;&gt;"-",P$14&lt;&gt;0)),$B23*P$18*(IF($D$16,P$15,P$14)*1440),"-")</f>
        <v/>
      </c>
      <c r="Q23" s="1151">
        <f>IF(AND(Q$18&lt;&gt;"-",AND(Q$14&lt;&gt;"-",Q$14&lt;&gt;0)),$B23*Q$18*(IF($D$16,Q$15,Q$14)*1440),"-")</f>
        <v/>
      </c>
      <c r="R23" s="1168" t="inlineStr">
        <is>
          <t>-</t>
        </is>
      </c>
      <c r="S23" s="1065" t="n"/>
      <c r="T23" s="1065" t="n"/>
      <c r="U23" s="1065" t="n"/>
      <c r="W23" s="1065" t="n"/>
      <c r="X23" s="243" t="n"/>
      <c r="Y23" s="186" t="n"/>
      <c r="Z23" s="1169" t="n"/>
      <c r="AA23" s="1155" t="n"/>
    </row>
    <row customHeight="1" ht="13.5" r="24" s="663">
      <c r="B24" s="188">
        <f>IF(AND($D$16,$E$16),B23+2,B23+1)</f>
        <v/>
      </c>
      <c r="C24" s="189">
        <f>IF($D$16,"KM ","Miles ")</f>
        <v/>
      </c>
      <c r="D24" s="1170">
        <f>IF(AND(D$18&lt;&gt;"-",AND(D$14&lt;&gt;"-",D$14&lt;&gt;0)),$B24*D$18*(IF($D$16,D$15,D$14)*1440),"-")</f>
        <v/>
      </c>
      <c r="E24" s="1171">
        <f>IF(AND(E$18&lt;&gt;"-",AND(E$14&lt;&gt;"-",E$14&lt;&gt;0)),$B24*E$18*(IF($D$16,E$15,E$14)*1440),"-")</f>
        <v/>
      </c>
      <c r="F24" s="1172">
        <f>IF(AND(F$18&lt;&gt;"-",AND(F$14&lt;&gt;"-",F$14&lt;&gt;0)),$B24*F$18*(IF($D$16,F$15,F$14)*1440),"-")</f>
        <v/>
      </c>
      <c r="G24" s="1173">
        <f>IF(AND(G$18&lt;&gt;"-",AND(G$14&lt;&gt;"-",G$14&lt;&gt;0)),$B24*G$18*(IF($D$16,G$15,G$14)*1440),"-")</f>
        <v/>
      </c>
      <c r="H24" s="1174">
        <f>IF(AND(H$18&lt;&gt;"-",AND(H$14&lt;&gt;"-",H$14&lt;&gt;0)),$B24*H$18*(IF($D$16,H$15,H$14)*1440),"-")</f>
        <v/>
      </c>
      <c r="I24" s="1175">
        <f>IF(AND(I$18&lt;&gt;"-",AND(I$14&lt;&gt;"-",I$14&lt;&gt;0)),$B24*I$18*(IF($D$16,I$15,I$14)*1440),"-")</f>
        <v/>
      </c>
      <c r="J24" s="1176">
        <f>IF(AND(J$18&lt;&gt;"-",AND(J$14&lt;&gt;"-",J$14&lt;&gt;0)),$B24*J$18*(IF($D$16,J$15,J$14)*1440),"-")</f>
        <v/>
      </c>
      <c r="K24" s="1177">
        <f>IF(AND(K$18&lt;&gt;"-",AND(K$14&lt;&gt;"-",K$14&lt;&gt;0)),$B24*K$18*(IF($D$16,K$15,K$14)*1440),"-")</f>
        <v/>
      </c>
      <c r="L24" s="1178">
        <f>IF(AND(L$18&lt;&gt;"-",AND(L$14&lt;&gt;"-",L$14&lt;&gt;0)),$B24*L$18*(IF($D$16,L$15,L$14)*1440),"-")</f>
        <v/>
      </c>
      <c r="M24" s="1178">
        <f>IF(AND(M$18&lt;&gt;"-",AND(M$14&lt;&gt;"-",M$14&lt;&gt;0)),$B24*M$18*(IF($D$16,M$15,M$14)*1440),"-")</f>
        <v/>
      </c>
      <c r="N24" s="1179">
        <f>IF(AND(N$18&lt;&gt;"-",AND(N$14&lt;&gt;"-",N$14&lt;&gt;0)),$B24*N$18*(IF($D$16,N$15,N$14)*1440),"-")</f>
        <v/>
      </c>
      <c r="O24" s="1180">
        <f>IF(AND(O$18&lt;&gt;"-",AND(O$14&lt;&gt;"-",O$14&lt;&gt;0)),$B24*O$18*(IF($D$16,O$15,O$14)*1440),"-")</f>
        <v/>
      </c>
      <c r="P24" s="1181" t="inlineStr">
        <is>
          <t>-</t>
        </is>
      </c>
      <c r="Q24" s="1182" t="inlineStr">
        <is>
          <t>-</t>
        </is>
      </c>
      <c r="R24" s="1183" t="inlineStr">
        <is>
          <t>-</t>
        </is>
      </c>
      <c r="S24" s="1065" t="n"/>
      <c r="T24" s="1065" t="n"/>
      <c r="U24" s="1065" t="n"/>
      <c r="X24" s="204" t="n"/>
    </row>
    <row customHeight="1" ht="13.5" r="25" s="663">
      <c r="B25" s="135">
        <f>IF(AND($D$16,$E$16),B24+2,B24+1)</f>
        <v/>
      </c>
      <c r="C25" s="136">
        <f>IF($D$16,"KM ","Miles ")</f>
        <v/>
      </c>
      <c r="D25" s="1184">
        <f>IF(AND(D$18&lt;&gt;"-",AND(D$14&lt;&gt;"-",D$14&lt;&gt;0)),$B25*D$18*(IF($D$16,D$15,D$14)*1440),"-")</f>
        <v/>
      </c>
      <c r="E25" s="1140">
        <f>IF(AND(E$18&lt;&gt;"-",AND(E$14&lt;&gt;"-",E$14&lt;&gt;0)),$B25*E$18*(IF($D$16,E$15,E$14)*1440),"-")</f>
        <v/>
      </c>
      <c r="F25" s="1141">
        <f>IF(AND(F$18&lt;&gt;"-",AND(F$14&lt;&gt;"-",F$14&lt;&gt;0)),$B25*F$18*(IF($D$16,F$15,F$14)*1440),"-")</f>
        <v/>
      </c>
      <c r="G25" s="1142">
        <f>IF(AND(G$18&lt;&gt;"-",AND(G$14&lt;&gt;"-",G$14&lt;&gt;0)),$B25*G$18*(IF($D$16,G$15,G$14)*1440),"-")</f>
        <v/>
      </c>
      <c r="H25" s="1143">
        <f>IF(AND(H$18&lt;&gt;"-",AND(H$14&lt;&gt;"-",H$14&lt;&gt;0)),$B25*H$18*(IF($D$16,H$15,H$14)*1440),"-")</f>
        <v/>
      </c>
      <c r="I25" s="1144">
        <f>IF(AND(I$18&lt;&gt;"-",AND(I$14&lt;&gt;"-",I$14&lt;&gt;0)),$B25*I$18*(IF($D$16,I$15,I$14)*1440),"-")</f>
        <v/>
      </c>
      <c r="J25" s="1145">
        <f>IF(AND(J$18&lt;&gt;"-",AND(J$14&lt;&gt;"-",J$14&lt;&gt;0)),$B25*J$18*(IF($D$16,J$15,J$14)*1440),"-")</f>
        <v/>
      </c>
      <c r="K25" s="1146">
        <f>IF(AND(K$18&lt;&gt;"-",AND(K$14&lt;&gt;"-",K$14&lt;&gt;0)),$B25*K$18*(IF($D$16,K$15,K$14)*1440),"-")</f>
        <v/>
      </c>
      <c r="L25" s="1147">
        <f>IF(AND(L$18&lt;&gt;"-",AND(L$14&lt;&gt;"-",L$14&lt;&gt;0)),$B25*L$18*(IF($D$16,L$15,L$14)*1440),"-")</f>
        <v/>
      </c>
      <c r="M25" s="1147">
        <f>IF(AND(M$18&lt;&gt;"-",AND(M$14&lt;&gt;"-",M$14&lt;&gt;0)),$B25*M$18*(IF($D$16,M$15,M$14)*1440),"-")</f>
        <v/>
      </c>
      <c r="N25" s="1148">
        <f>IF(AND(N$18&lt;&gt;"-",AND(N$14&lt;&gt;"-",N$14&lt;&gt;0)),$B25*N$18*(IF($D$16,N$15,N$14)*1440),"-")</f>
        <v/>
      </c>
      <c r="O25" s="1149" t="inlineStr">
        <is>
          <t>-</t>
        </is>
      </c>
      <c r="P25" s="1150" t="inlineStr">
        <is>
          <t>-</t>
        </is>
      </c>
      <c r="Q25" s="1185" t="inlineStr">
        <is>
          <t>-</t>
        </is>
      </c>
      <c r="R25" s="1152" t="inlineStr">
        <is>
          <t>-</t>
        </is>
      </c>
    </row>
    <row customHeight="1" ht="13.5" r="26" s="663" thickBot="1">
      <c r="B26" s="135">
        <f>IF(AND($D$16,$E$16),B25+2,B25+1)</f>
        <v/>
      </c>
      <c r="C26" s="136">
        <f>IF($D$16,"KM ","Miles ")</f>
        <v/>
      </c>
      <c r="D26" s="1184">
        <f>IF(AND(D$18&lt;&gt;"-",AND(D$14&lt;&gt;"-",D$14&lt;&gt;0)),$B26*D$18*(IF($D$16,D$15,D$14)*1440),"-")</f>
        <v/>
      </c>
      <c r="E26" s="1140">
        <f>IF(AND(E$18&lt;&gt;"-",AND(E$14&lt;&gt;"-",E$14&lt;&gt;0)),$B26*E$18*(IF($D$16,E$15,E$14)*1440),"-")</f>
        <v/>
      </c>
      <c r="F26" s="1141">
        <f>IF(AND(F$18&lt;&gt;"-",AND(F$14&lt;&gt;"-",F$14&lt;&gt;0)),$B26*F$18*(IF($D$16,F$15,F$14)*1440),"-")</f>
        <v/>
      </c>
      <c r="G26" s="1142">
        <f>IF(AND(G$18&lt;&gt;"-",AND(G$14&lt;&gt;"-",G$14&lt;&gt;0)),$B26*G$18*(IF($D$16,G$15,G$14)*1440),"-")</f>
        <v/>
      </c>
      <c r="H26" s="1143">
        <f>IF(AND(H$18&lt;&gt;"-",AND(H$14&lt;&gt;"-",H$14&lt;&gt;0)),$B26*H$18*(IF($D$16,H$15,H$14)*1440),"-")</f>
        <v/>
      </c>
      <c r="I26" s="1144">
        <f>IF(AND(I$18&lt;&gt;"-",AND(I$14&lt;&gt;"-",I$14&lt;&gt;0)),$B26*I$18*(IF($D$16,I$15,I$14)*1440),"-")</f>
        <v/>
      </c>
      <c r="J26" s="1145">
        <f>IF(AND(J$18&lt;&gt;"-",AND(J$14&lt;&gt;"-",J$14&lt;&gt;0)),$B26*J$18*(IF($D$16,J$15,J$14)*1440),"-")</f>
        <v/>
      </c>
      <c r="K26" s="1146">
        <f>IF(AND(K$18&lt;&gt;"-",AND(K$14&lt;&gt;"-",K$14&lt;&gt;0)),$B26*K$18*(IF($D$16,K$15,K$14)*1440),"-")</f>
        <v/>
      </c>
      <c r="L26" s="1147">
        <f>IF(AND(L$18&lt;&gt;"-",AND(L$14&lt;&gt;"-",L$14&lt;&gt;0)),$B26*L$18*(IF($D$16,L$15,L$14)*1440),"-")</f>
        <v/>
      </c>
      <c r="M26" s="1186">
        <f>IF(AND(M$18&lt;&gt;"-",AND(M$14&lt;&gt;"-",M$14&lt;&gt;0)),$B26*M$18*(IF($D$16,M$15,M$14)*1440),"-")</f>
        <v/>
      </c>
      <c r="N26" s="1187" t="inlineStr">
        <is>
          <t>-</t>
        </is>
      </c>
      <c r="O26" s="1188" t="inlineStr">
        <is>
          <t>-</t>
        </is>
      </c>
      <c r="P26" s="1189" t="inlineStr">
        <is>
          <t>-</t>
        </is>
      </c>
      <c r="Q26" s="1190" t="inlineStr">
        <is>
          <t>-</t>
        </is>
      </c>
      <c r="R26" s="1191" t="inlineStr">
        <is>
          <t>-</t>
        </is>
      </c>
      <c r="Y26" s="1065" t="n"/>
    </row>
    <row customHeight="1" ht="13.5" r="27" s="663" thickBot="1" thickTop="1">
      <c r="B27" s="135">
        <f>IF(AND($D$16,$E$16),B26+2,B26+1)</f>
        <v/>
      </c>
      <c r="C27" s="136">
        <f>IF($D$16,"KM ","Miles ")</f>
        <v/>
      </c>
      <c r="D27" s="1184">
        <f>IF(AND(D$18&lt;&gt;"-",AND(D$14&lt;&gt;"-",D$14&lt;&gt;0)),$B27*D$18*(IF($D$16,D$15,D$14)*1440),"-")</f>
        <v/>
      </c>
      <c r="E27" s="1140">
        <f>IF(AND(E$18&lt;&gt;"-",AND(E$14&lt;&gt;"-",E$14&lt;&gt;0)),$B27*E$18*(IF($D$16,E$15,E$14)*1440),"-")</f>
        <v/>
      </c>
      <c r="F27" s="1141">
        <f>IF(AND(F$18&lt;&gt;"-",AND(F$14&lt;&gt;"-",F$14&lt;&gt;0)),$B27*F$18*(IF($D$16,F$15,F$14)*1440),"-")</f>
        <v/>
      </c>
      <c r="G27" s="1142">
        <f>IF(AND(G$18&lt;&gt;"-",AND(G$14&lt;&gt;"-",G$14&lt;&gt;0)),$B27*G$18*(IF($D$16,G$15,G$14)*1440),"-")</f>
        <v/>
      </c>
      <c r="H27" s="1143">
        <f>IF(AND(H$18&lt;&gt;"-",AND(H$14&lt;&gt;"-",H$14&lt;&gt;0)),$B27*H$18*(IF($D$16,H$15,H$14)*1440),"-")</f>
        <v/>
      </c>
      <c r="I27" s="1144">
        <f>IF(AND(I$18&lt;&gt;"-",AND(I$14&lt;&gt;"-",I$14&lt;&gt;0)),$B27*I$18*(IF($D$16,I$15,I$14)*1440),"-")</f>
        <v/>
      </c>
      <c r="J27" s="1145">
        <f>IF(AND(J$18&lt;&gt;"-",AND(J$14&lt;&gt;"-",J$14&lt;&gt;0)),$B27*J$18*(IF($D$16,J$15,J$14)*1440),"-")</f>
        <v/>
      </c>
      <c r="K27" s="1146">
        <f>IF(AND(K$18&lt;&gt;"-",AND(K$14&lt;&gt;"-",K$14&lt;&gt;0)),$B27*K$18*(IF($D$16,K$15,K$14)*1440),"-")</f>
        <v/>
      </c>
      <c r="L27" s="1148">
        <f>IF(AND(L$18&lt;&gt;"-",AND(L$14&lt;&gt;"-",L$14&lt;&gt;0)),$B27*L$18*(IF($D$16,L$15,L$14)*1440),"-")</f>
        <v/>
      </c>
      <c r="M27" s="793" t="inlineStr">
        <is>
          <t>Intensity Points Calculator</t>
        </is>
      </c>
      <c r="N27" s="286" t="n"/>
      <c r="O27" s="286" t="n"/>
      <c r="P27" s="286" t="n"/>
      <c r="Q27" s="286" t="n"/>
      <c r="R27" s="215" t="n"/>
      <c r="Y27" s="1065" t="n"/>
    </row>
    <row customHeight="1" ht="13.5" r="28" s="663" thickBot="1" thickTop="1">
      <c r="B28" s="170">
        <f>IF(AND($D$16,$E$16),B27+2,B27+1)</f>
        <v/>
      </c>
      <c r="C28" s="171">
        <f>IF($D$16,"KM ","Miles ")</f>
        <v/>
      </c>
      <c r="D28" s="1192">
        <f>IF(AND(D$18&lt;&gt;"-",AND(D$14&lt;&gt;"-",D$14&lt;&gt;0)),$B28*D$18*(IF($D$16,D$15,D$14)*1440),"-")</f>
        <v/>
      </c>
      <c r="E28" s="1157">
        <f>IF(AND(E$18&lt;&gt;"-",AND(E$14&lt;&gt;"-",E$14&lt;&gt;0)),$B28*E$18*(IF($D$16,E$15,E$14)*1440),"-")</f>
        <v/>
      </c>
      <c r="F28" s="1158">
        <f>IF(AND(F$18&lt;&gt;"-",AND(F$14&lt;&gt;"-",F$14&lt;&gt;0)),$B28*F$18*(IF($D$16,F$15,F$14)*1440),"-")</f>
        <v/>
      </c>
      <c r="G28" s="1159">
        <f>IF(AND(G$18&lt;&gt;"-",AND(G$14&lt;&gt;"-",G$14&lt;&gt;0)),$B28*G$18*(IF($D$16,G$15,G$14)*1440),"-")</f>
        <v/>
      </c>
      <c r="H28" s="1160">
        <f>IF(AND(H$18&lt;&gt;"-",AND(H$14&lt;&gt;"-",H$14&lt;&gt;0)),$B28*H$18*(IF($D$16,H$15,H$14)*1440),"-")</f>
        <v/>
      </c>
      <c r="I28" s="1161">
        <f>IF(AND(I$18&lt;&gt;"-",AND(I$14&lt;&gt;"-",I$14&lt;&gt;0)),$B28*I$18*(IF($D$16,I$15,I$14)*1440),"-")</f>
        <v/>
      </c>
      <c r="J28" s="1162">
        <f>IF(AND(J$18&lt;&gt;"-",AND(J$14&lt;&gt;"-",J$14&lt;&gt;0)),$B28*J$18*(IF($D$16,J$15,J$14)*1440),"-")</f>
        <v/>
      </c>
      <c r="K28" s="1163">
        <f>IF(AND(K$18&lt;&gt;"-",AND(K$14&lt;&gt;"-",K$14&lt;&gt;0)),$B28*K$18*(IF($D$16,K$15,K$14)*1440),"-")</f>
        <v/>
      </c>
      <c r="L28" s="1193">
        <f>IF(AND(L$18&lt;&gt;"-",AND(L$14&lt;&gt;"-",L$14&lt;&gt;0)),$B28*L$18*(IF($D$16,L$15,L$14)*1440),"-")</f>
        <v/>
      </c>
      <c r="M28" s="218" t="inlineStr">
        <is>
          <t xml:space="preserve">   1 - Time &amp; Distance</t>
        </is>
      </c>
      <c r="N28" s="219" t="n"/>
      <c r="O28" s="219" t="inlineStr">
        <is>
          <t xml:space="preserve">       3 - Distance &amp; Pace</t>
        </is>
      </c>
      <c r="P28" s="219" t="n"/>
      <c r="Q28" s="219" t="n"/>
      <c r="R28" s="220" t="inlineStr">
        <is>
          <t>Mode</t>
        </is>
      </c>
      <c r="V28" s="1194" t="n"/>
      <c r="W28" s="222" t="n"/>
      <c r="X28" s="224" t="inlineStr">
        <is>
          <t>Points Factors</t>
        </is>
      </c>
      <c r="Y28" s="224" t="n"/>
      <c r="Z28" s="224" t="n"/>
      <c r="AA28" s="1065" t="n"/>
    </row>
    <row customHeight="1" ht="13.5" r="29" s="663" thickBot="1">
      <c r="B29" s="188">
        <f>IF(AND($D$16,$E$16),B28+2,B28+1)</f>
        <v/>
      </c>
      <c r="C29" s="189">
        <f>IF($D$16,"KM ","Miles ")</f>
        <v/>
      </c>
      <c r="D29" s="1170">
        <f>IF(AND(D$18&lt;&gt;"-",AND(D$14&lt;&gt;"-",D$14&lt;&gt;0)),$B29*D$18*(IF($D$16,D$15,D$14)*1440),"-")</f>
        <v/>
      </c>
      <c r="E29" s="1171">
        <f>IF(AND(E$18&lt;&gt;"-",AND(E$14&lt;&gt;"-",E$14&lt;&gt;0)),$B29*E$18*(IF($D$16,E$15,E$14)*1440),"-")</f>
        <v/>
      </c>
      <c r="F29" s="1172">
        <f>IF(AND(F$18&lt;&gt;"-",AND(F$14&lt;&gt;"-",F$14&lt;&gt;0)),$B29*F$18*(IF($D$16,F$15,F$14)*1440),"-")</f>
        <v/>
      </c>
      <c r="G29" s="1173">
        <f>IF(AND(G$18&lt;&gt;"-",AND(G$14&lt;&gt;"-",G$14&lt;&gt;0)),$B29*G$18*(IF($D$16,G$15,G$14)*1440),"-")</f>
        <v/>
      </c>
      <c r="H29" s="1174">
        <f>IF(AND(H$18&lt;&gt;"-",AND(H$14&lt;&gt;"-",H$14&lt;&gt;0)),$B29*H$18*(IF($D$16,H$15,H$14)*1440),"-")</f>
        <v/>
      </c>
      <c r="I29" s="1175">
        <f>IF(AND(I$18&lt;&gt;"-",AND(I$14&lt;&gt;"-",I$14&lt;&gt;0)),$B29*I$18*(IF($D$16,I$15,I$14)*1440),"-")</f>
        <v/>
      </c>
      <c r="J29" s="1176">
        <f>IF(AND(J$18&lt;&gt;"-",AND(J$14&lt;&gt;"-",J$14&lt;&gt;0)),$B29*J$18*(IF($D$16,J$15,J$14)*1440),"-")</f>
        <v/>
      </c>
      <c r="K29" s="1177">
        <f>IF(AND(K$18&lt;&gt;"-",AND(K$14&lt;&gt;"-",K$14&lt;&gt;0)),$B29*K$18*(IF($D$16,K$15,K$14)*1440),"-")</f>
        <v/>
      </c>
      <c r="L29" s="1195" t="inlineStr">
        <is>
          <t>-</t>
        </is>
      </c>
      <c r="M29" s="226" t="inlineStr">
        <is>
          <t xml:space="preserve">   2 - Time &amp; Pace</t>
        </is>
      </c>
      <c r="N29" s="227" t="n"/>
      <c r="O29" s="227" t="inlineStr">
        <is>
          <t xml:space="preserve">       4 - Time &amp; Heart Rate</t>
        </is>
      </c>
      <c r="P29" s="227" t="n"/>
      <c r="Q29" s="227" t="n"/>
      <c r="R29" s="228" t="n">
        <v>1</v>
      </c>
      <c r="V29" s="1194" t="n"/>
      <c r="W29" s="229" t="inlineStr">
        <is>
          <t>Time</t>
        </is>
      </c>
      <c r="X29" s="231" t="inlineStr">
        <is>
          <t>Time</t>
        </is>
      </c>
      <c r="Y29" s="231" t="inlineStr">
        <is>
          <t>Distance</t>
        </is>
      </c>
      <c r="Z29" s="232" t="inlineStr">
        <is>
          <t>Time</t>
        </is>
      </c>
      <c r="AA29" s="1065" t="n"/>
    </row>
    <row customHeight="1" ht="13.5" r="30" s="663" thickBot="1">
      <c r="B30" s="135">
        <f>IF(AND($D$16,$E$16),B29+2,B29+1)</f>
        <v/>
      </c>
      <c r="C30" s="136">
        <f>IF($D$16,"KM ","Miles ")</f>
        <v/>
      </c>
      <c r="D30" s="1184">
        <f>IF(AND(D$18&lt;&gt;"-",AND(D$14&lt;&gt;"-",D$14&lt;&gt;0)),$B30*D$18*(IF($D$16,D$15,D$14)*1440),"-")</f>
        <v/>
      </c>
      <c r="E30" s="1140">
        <f>IF(AND(E$18&lt;&gt;"-",AND(E$14&lt;&gt;"-",E$14&lt;&gt;0)),$B30*E$18*(IF($D$16,E$15,E$14)*1440),"-")</f>
        <v/>
      </c>
      <c r="F30" s="1141">
        <f>IF(AND(F$18&lt;&gt;"-",AND(F$14&lt;&gt;"-",F$14&lt;&gt;0)),$B30*F$18*(IF($D$16,F$15,F$14)*1440),"-")</f>
        <v/>
      </c>
      <c r="G30" s="1142">
        <f>IF(AND(G$18&lt;&gt;"-",AND(G$14&lt;&gt;"-",G$14&lt;&gt;0)),$B30*G$18*(IF($D$16,G$15,G$14)*1440),"-")</f>
        <v/>
      </c>
      <c r="H30" s="1143">
        <f>IF(AND(H$18&lt;&gt;"-",AND(H$14&lt;&gt;"-",H$14&lt;&gt;0)),$B30*H$18*(IF($D$16,H$15,H$14)*1440),"-")</f>
        <v/>
      </c>
      <c r="I30" s="1144">
        <f>IF(AND(I$18&lt;&gt;"-",AND(I$14&lt;&gt;"-",I$14&lt;&gt;0)),$B30*I$18*(IF($D$16,I$15,I$14)*1440),"-")</f>
        <v/>
      </c>
      <c r="J30" s="1145">
        <f>IF(AND(J$18&lt;&gt;"-",AND(J$14&lt;&gt;"-",J$14&lt;&gt;0)),$B30*J$18*(IF($D$16,J$15,J$14)*1440),"-")</f>
        <v/>
      </c>
      <c r="K30" s="1146">
        <f>IF(AND(K$18&lt;&gt;"-",AND(K$14&lt;&gt;"-",K$14&lt;&gt;0)),$B30*K$18*(IF($D$16,K$15,K$14)*1440),"-")</f>
        <v/>
      </c>
      <c r="L30" s="1196" t="inlineStr">
        <is>
          <t>-</t>
        </is>
      </c>
      <c r="M30" s="1197" t="inlineStr">
        <is>
          <t>h:mm:ss</t>
        </is>
      </c>
      <c r="N30" s="1198">
        <f>IF($D$16,"KM","Miles")</f>
        <v/>
      </c>
      <c r="O30" s="1198" t="inlineStr">
        <is>
          <t>Pace</t>
        </is>
      </c>
      <c r="P30" s="1199" t="inlineStr">
        <is>
          <t>HeartRate</t>
        </is>
      </c>
      <c r="Q30" s="1200" t="inlineStr">
        <is>
          <t>Factor</t>
        </is>
      </c>
      <c r="R30" s="1201" t="inlineStr">
        <is>
          <t>Points</t>
        </is>
      </c>
      <c r="V30" s="1202" t="n"/>
      <c r="W30" s="240" t="inlineStr">
        <is>
          <t>Distance</t>
        </is>
      </c>
      <c r="X30" s="792" t="inlineStr">
        <is>
          <t>Pace</t>
        </is>
      </c>
      <c r="Y30" s="792" t="inlineStr">
        <is>
          <t>Pace</t>
        </is>
      </c>
      <c r="Z30" s="242" t="inlineStr">
        <is>
          <t>Heart Rate</t>
        </is>
      </c>
      <c r="AA30" s="243" t="n"/>
    </row>
    <row customHeight="1" ht="13.5" r="31" s="663">
      <c r="B31" s="135">
        <f>IF(AND($D$16,$E$16),B30+2,B30+1)</f>
        <v/>
      </c>
      <c r="C31" s="136">
        <f>IF($D$16,"KM ","Miles ")</f>
        <v/>
      </c>
      <c r="D31" s="1184">
        <f>IF(AND(D$18&lt;&gt;"-",AND(D$14&lt;&gt;"-",D$14&lt;&gt;0)),$B31*D$18*(IF($D$16,D$15,D$14)*1440),"-")</f>
        <v/>
      </c>
      <c r="E31" s="1140">
        <f>IF(AND(E$18&lt;&gt;"-",AND(E$14&lt;&gt;"-",E$14&lt;&gt;0)),$B31*E$18*(IF($D$16,E$15,E$14)*1440),"-")</f>
        <v/>
      </c>
      <c r="F31" s="1141">
        <f>IF(AND(F$18&lt;&gt;"-",AND(F$14&lt;&gt;"-",F$14&lt;&gt;0)),$B31*F$18*(IF($D$16,F$15,F$14)*1440),"-")</f>
        <v/>
      </c>
      <c r="G31" s="1142">
        <f>IF(AND(G$18&lt;&gt;"-",AND(G$14&lt;&gt;"-",G$14&lt;&gt;0)),$B31*G$18*(IF($D$16,G$15,G$14)*1440),"-")</f>
        <v/>
      </c>
      <c r="H31" s="1143">
        <f>IF(AND(H$18&lt;&gt;"-",AND(H$14&lt;&gt;"-",H$14&lt;&gt;0)),$B31*H$18*(IF($D$16,H$15,H$14)*1440),"-")</f>
        <v/>
      </c>
      <c r="I31" s="1144">
        <f>IF(AND(I$18&lt;&gt;"-",AND(I$14&lt;&gt;"-",I$14&lt;&gt;0)),$B31*I$18*(IF($D$16,I$15,I$14)*1440),"-")</f>
        <v/>
      </c>
      <c r="J31" s="1145">
        <f>IF(AND(J$18&lt;&gt;"-",AND(J$14&lt;&gt;"-",J$14&lt;&gt;0)),$B31*J$18*(IF($D$16,J$15,J$14)*1440),"-")</f>
        <v/>
      </c>
      <c r="K31" s="1146">
        <f>IF(AND(K$18&lt;&gt;"-",AND(K$14&lt;&gt;"-",K$14&lt;&gt;0)),$B31*K$18*(IF($D$16,K$15,K$14)*1440),"-")</f>
        <v/>
      </c>
      <c r="L31" s="1196" t="inlineStr">
        <is>
          <t>-</t>
        </is>
      </c>
      <c r="M31" s="619" t="n">
        <v>0.04166666666666666</v>
      </c>
      <c r="N31" s="1203" t="n">
        <v>3</v>
      </c>
      <c r="O31" s="621" t="n">
        <v>0.4479166666666667</v>
      </c>
      <c r="P31" s="622" t="n">
        <v>125</v>
      </c>
      <c r="Q31" s="1204">
        <f>IF($R$29=1,IF(ISNA(W31),"too slow",W31),IF($R$29=2,IF(ISNA(X31),"too slow",X31),IF($R$29=3,IF(ISNA(Y31),"too slow",Y31),Z31)))</f>
        <v/>
      </c>
      <c r="R31" s="1205">
        <f>IF(Q31="Too Slow","",IF($R$29=3,O31*N31*24*Q31,M31*1440*Q31))</f>
        <v/>
      </c>
      <c r="V31" s="1206" t="n"/>
      <c r="W31" s="248">
        <f>IF(M31*N31,LOOKUP(((0.182258*(1/((M31/N31)*1440)*IF($D$16,1000,1609.344))+(0.000104*(1/((M31/N31)*1440)*IF($D$16,1000,1609.344))^2)-4.6)/$I$6),$W$125:$W$204,$Y$125:$Y$204),0)</f>
        <v/>
      </c>
      <c r="X31" s="248">
        <f>IF(M31*O31,LOOKUP(((0.182258*(1/(O31*24)*IF($D$16,1000,1609.344))+(0.000104*(1/(O31*24)*IF($D$16,1000,1609.344))^2)-4.6)/$I$6),$W$125:$W$204,$Y$125:$Y$204),0)</f>
        <v/>
      </c>
      <c r="Y31" s="248">
        <f>IF(N31*O31,LOOKUP(((0.182258*(1/(O31*24)*IF($D$16,1000,1609.344))+(0.000104*(1/(O31*24)*IF($D$16,1000,1609.344))^2)-4.6)/$I$6),$W$125:$W$204,$Y$125:$Y$204),0)</f>
        <v/>
      </c>
      <c r="Z31" s="248">
        <f>IF(M31*P31,LOOKUP(MAX(P31/$E$3,0.56),$X$125:$X$204,$Y$125:$Y$204),0)</f>
        <v/>
      </c>
      <c r="AA31" s="249" t="n"/>
    </row>
    <row customHeight="1" ht="13.5" r="32" s="663">
      <c r="B32" s="135">
        <f>IF(AND($D$16,$E$16),B31+2,B31+1)</f>
        <v/>
      </c>
      <c r="C32" s="136">
        <f>IF($D$16,"KM ","Miles ")</f>
        <v/>
      </c>
      <c r="D32" s="1184">
        <f>IF(AND(D$18&lt;&gt;"-",AND(D$14&lt;&gt;"-",D$14&lt;&gt;0)),$B32*D$18*(IF($D$16,D$15,D$14)*1440),"-")</f>
        <v/>
      </c>
      <c r="E32" s="1140">
        <f>IF(AND(E$18&lt;&gt;"-",AND(E$14&lt;&gt;"-",E$14&lt;&gt;0)),$B32*E$18*(IF($D$16,E$15,E$14)*1440),"-")</f>
        <v/>
      </c>
      <c r="F32" s="1141">
        <f>IF(AND(F$18&lt;&gt;"-",AND(F$14&lt;&gt;"-",F$14&lt;&gt;0)),$B32*F$18*(IF($D$16,F$15,F$14)*1440),"-")</f>
        <v/>
      </c>
      <c r="G32" s="1142">
        <f>IF(AND(G$18&lt;&gt;"-",AND(G$14&lt;&gt;"-",G$14&lt;&gt;0)),$B32*G$18*(IF($D$16,G$15,G$14)*1440),"-")</f>
        <v/>
      </c>
      <c r="H32" s="1143">
        <f>IF(AND(H$18&lt;&gt;"-",AND(H$14&lt;&gt;"-",H$14&lt;&gt;0)),$B32*H$18*(IF($D$16,H$15,H$14)*1440),"-")</f>
        <v/>
      </c>
      <c r="I32" s="1144">
        <f>IF(AND(I$18&lt;&gt;"-",AND(I$14&lt;&gt;"-",I$14&lt;&gt;0)),$B32*I$18*(IF($D$16,I$15,I$14)*1440),"-")</f>
        <v/>
      </c>
      <c r="J32" s="1145">
        <f>IF(AND(J$18&lt;&gt;"-",AND(J$14&lt;&gt;"-",J$14&lt;&gt;0)),$B32*J$18*(IF($D$16,J$15,J$14)*1440),"-")</f>
        <v/>
      </c>
      <c r="K32" s="1146" t="inlineStr">
        <is>
          <t>-</t>
        </is>
      </c>
      <c r="L32" s="1196" t="inlineStr">
        <is>
          <t>-</t>
        </is>
      </c>
      <c r="M32" s="250" t="n">
        <v>0.04166666666666666</v>
      </c>
      <c r="N32" s="1207" t="n">
        <v>5</v>
      </c>
      <c r="O32" s="252" t="n">
        <v>0.4479166666666667</v>
      </c>
      <c r="P32" s="253" t="n">
        <v>126</v>
      </c>
      <c r="Q32" s="1208">
        <f>IF($R$29=1,IF(ISNA(W32),"too slow",W32),IF($R$29=2,IF(ISNA(X32),"too slow",X32),IF($R$29=3,IF(ISNA(Y32),"too slow",Y32),Z32)))</f>
        <v/>
      </c>
      <c r="R32" s="1209">
        <f>IF(Q32="Too Slow","",IF($R$29=3,O32*N32*24*Q32,M32*1440*Q32))</f>
        <v/>
      </c>
      <c r="V32" s="1206" t="n"/>
      <c r="W32" s="255">
        <f>IF(M32*N32,LOOKUP(((0.182258*(1/((M32/N32)*1440)*IF($D$16,1000,1609.344))+(0.000104*(1/((M32/N32)*1440)*IF($D$16,1000,1609.344))^2)-4.6)/$I$6),$W$125:$W$204,$Y$125:$Y$204),0)</f>
        <v/>
      </c>
      <c r="X32" s="255">
        <f>IF(M32*O32,LOOKUP(((0.182258*(1/(O32*24)*IF($D$16,1000,1609.344))+(0.000104*(1/(O32*24)*IF($D$16,1000,1609.344))^2)-4.6)/$I$6),$W$125:$W$204,$Y$125:$Y$204),0)</f>
        <v/>
      </c>
      <c r="Y32" s="255">
        <f>IF(N32*O32,LOOKUP(((0.182258*(1/(O32*24)*IF($D$16,1000,1609.344))+(0.000104*(1/(O32*24)*IF($D$16,1000,1609.344))^2)-4.6)/$I$6),$W$125:$W$204,$Y$125:$Y$204),0)</f>
        <v/>
      </c>
      <c r="Z32" s="255">
        <f>IF(M32*P32,LOOKUP(MAX(ROUND(P32/$E$3,2),0.65),$X$125:$X$204,$Y$125:$Y$204),0)</f>
        <v/>
      </c>
    </row>
    <row customHeight="1" ht="13.5" r="33" s="663" thickBot="1">
      <c r="B33" s="170">
        <f>IF(AND($D$16,$E$16),B32+2,B32+1)</f>
        <v/>
      </c>
      <c r="C33" s="171">
        <f>IF($D$16,"KM ","Miles ")</f>
        <v/>
      </c>
      <c r="D33" s="1192">
        <f>IF(AND(D$18&lt;&gt;"-",AND(D$14&lt;&gt;"-",D$14&lt;&gt;0)),$B33*D$18*(IF($D$16,D$15,D$14)*1440),"-")</f>
        <v/>
      </c>
      <c r="E33" s="1157">
        <f>IF(AND(E$18&lt;&gt;"-",AND(E$14&lt;&gt;"-",E$14&lt;&gt;0)),$B33*E$18*(IF($D$16,E$15,E$14)*1440),"-")</f>
        <v/>
      </c>
      <c r="F33" s="1158">
        <f>IF(AND(F$18&lt;&gt;"-",AND(F$14&lt;&gt;"-",F$14&lt;&gt;0)),$B33*F$18*(IF($D$16,F$15,F$14)*1440),"-")</f>
        <v/>
      </c>
      <c r="G33" s="1159">
        <f>IF(AND(G$18&lt;&gt;"-",AND(G$14&lt;&gt;"-",G$14&lt;&gt;0)),$B33*G$18*(IF($D$16,G$15,G$14)*1440),"-")</f>
        <v/>
      </c>
      <c r="H33" s="1160">
        <f>IF(AND(H$18&lt;&gt;"-",AND(H$14&lt;&gt;"-",H$14&lt;&gt;0)),$B33*H$18*(IF($D$16,H$15,H$14)*1440),"-")</f>
        <v/>
      </c>
      <c r="I33" s="1161">
        <f>IF(AND(I$18&lt;&gt;"-",AND(I$14&lt;&gt;"-",I$14&lt;&gt;0)),$B33*I$18*(IF($D$16,I$15,I$14)*1440),"-")</f>
        <v/>
      </c>
      <c r="J33" s="1162">
        <f>IF(AND(J$18&lt;&gt;"-",AND(J$14&lt;&gt;"-",J$14&lt;&gt;0)),$B33*J$18*(IF($D$16,J$15,J$14)*1440),"-")</f>
        <v/>
      </c>
      <c r="K33" s="1163" t="inlineStr">
        <is>
          <t>-</t>
        </is>
      </c>
      <c r="L33" s="1193" t="inlineStr">
        <is>
          <t>-</t>
        </is>
      </c>
      <c r="M33" s="250" t="n">
        <v>0.04166666666666666</v>
      </c>
      <c r="N33" s="1207" t="n">
        <v>7</v>
      </c>
      <c r="O33" s="252" t="n">
        <v>0.4479166666666667</v>
      </c>
      <c r="P33" s="253" t="n">
        <v>127</v>
      </c>
      <c r="Q33" s="1208">
        <f>IF($R$29=1,IF(ISNA(W33),"too slow",W33),IF($R$29=2,IF(ISNA(X33),"too slow",X33),IF($R$29=3,IF(ISNA(Y33),"too slow",Y33),Z33)))</f>
        <v/>
      </c>
      <c r="R33" s="1209">
        <f>IF(Q33="Too Slow","",IF($R$29=3,O33*N33*24*Q33,M33*1440*Q33))</f>
        <v/>
      </c>
      <c r="V33" s="1206" t="n"/>
      <c r="W33" s="255">
        <f>IF(M33*N33,LOOKUP(((0.182258*(1/((M33/N33)*1440)*IF($D$16,1000,1609.344))+(0.000104*(1/((M33/N33)*1440)*IF($D$16,1000,1609.344))^2)-4.6)/$I$6),$W$125:$W$204,$Y$125:$Y$204),0)</f>
        <v/>
      </c>
      <c r="X33" s="255">
        <f>IF(M33*O33,LOOKUP(((0.182258*(1/(O33*24)*IF($D$16,1000,1609.344))+(0.000104*(1/(O33*24)*IF($D$16,1000,1609.344))^2)-4.6)/$I$6),$W$125:$W$204,$Y$125:$Y$204),0)</f>
        <v/>
      </c>
      <c r="Y33" s="255">
        <f>IF(N33*O33,LOOKUP(((0.182258*(1/(O33*24)*IF($D$16,1000,1609.344))+(0.000104*(1/(O33*24)*IF($D$16,1000,1609.344))^2)-4.6)/$I$6),$W$125:$W$204,$Y$125:$Y$204),0)</f>
        <v/>
      </c>
      <c r="Z33" s="255">
        <f>IF(M33*P33,LOOKUP(MAX(ROUND(P33/$E$3,2),0.65),$X$125:$X$204,$Y$125:$Y$204),0)</f>
        <v/>
      </c>
    </row>
    <row customHeight="1" ht="13.5" r="34" s="663">
      <c r="B34" s="188">
        <f>IF(AND($D$16,$E$16),B33+2,B33+1)</f>
        <v/>
      </c>
      <c r="C34" s="189">
        <f>IF($D$16,"KM ","Miles ")</f>
        <v/>
      </c>
      <c r="D34" s="1170">
        <f>IF(AND(D$18&lt;&gt;"-",AND(D$14&lt;&gt;"-",D$14&lt;&gt;0)),$B34*D$18*(IF($D$16,D$15,D$14)*1440),"-")</f>
        <v/>
      </c>
      <c r="E34" s="1171">
        <f>IF(AND(E$18&lt;&gt;"-",AND(E$14&lt;&gt;"-",E$14&lt;&gt;0)),$B34*E$18*(IF($D$16,E$15,E$14)*1440),"-")</f>
        <v/>
      </c>
      <c r="F34" s="1172">
        <f>IF(AND(F$18&lt;&gt;"-",AND(F$14&lt;&gt;"-",F$14&lt;&gt;0)),$B34*F$18*(IF($D$16,F$15,F$14)*1440),"-")</f>
        <v/>
      </c>
      <c r="G34" s="1173">
        <f>IF(AND(G$18&lt;&gt;"-",AND(G$14&lt;&gt;"-",G$14&lt;&gt;0)),$B34*G$18*(IF($D$16,G$15,G$14)*1440),"-")</f>
        <v/>
      </c>
      <c r="H34" s="1174">
        <f>IF(AND(H$18&lt;&gt;"-",AND(H$14&lt;&gt;"-",H$14&lt;&gt;0)),$B34*H$18*(IF($D$16,H$15,H$14)*1440),"-")</f>
        <v/>
      </c>
      <c r="I34" s="1175">
        <f>IF(AND(I$18&lt;&gt;"-",AND(I$14&lt;&gt;"-",I$14&lt;&gt;0)),$B34*I$18*(IF($D$16,I$15,I$14)*1440),"-")</f>
        <v/>
      </c>
      <c r="J34" s="1176">
        <f>IF(AND(J$18&lt;&gt;"-",AND(J$14&lt;&gt;"-",J$14&lt;&gt;0)),$B34*J$18*(IF($D$16,J$15,J$14)*1440),"-")</f>
        <v/>
      </c>
      <c r="K34" s="1177" t="inlineStr">
        <is>
          <t>-</t>
        </is>
      </c>
      <c r="L34" s="1210" t="inlineStr">
        <is>
          <t>-</t>
        </is>
      </c>
      <c r="M34" s="250" t="n">
        <v>0.04166666666666666</v>
      </c>
      <c r="N34" s="1207" t="n">
        <v>9</v>
      </c>
      <c r="O34" s="252" t="n">
        <v>0.4479166666666667</v>
      </c>
      <c r="P34" s="253" t="n">
        <v>128</v>
      </c>
      <c r="Q34" s="1208">
        <f>IF($R$29=1,IF(ISNA(W34),"too slow",W34),IF($R$29=2,IF(ISNA(X34),"too slow",X34),IF($R$29=3,IF(ISNA(Y34),"too slow",Y34),Z34)))</f>
        <v/>
      </c>
      <c r="R34" s="1209">
        <f>IF(Q34="Too Slow","",IF($R$29=3,O34*N34*24*Q34,M34*1440*Q34))</f>
        <v/>
      </c>
      <c r="V34" s="1206" t="n"/>
      <c r="W34" s="255">
        <f>IF(M34*N34,LOOKUP(((0.182258*(1/((M34/N34)*1440)*IF($D$16,1000,1609.344))+(0.000104*(1/((M34/N34)*1440)*IF($D$16,1000,1609.344))^2)-4.6)/$I$6),$W$125:$W$204,$Y$125:$Y$204),0)</f>
        <v/>
      </c>
      <c r="X34" s="255">
        <f>IF(M34*O34,LOOKUP(((0.182258*(1/(O34*24)*IF($D$16,1000,1609.344))+(0.000104*(1/(O34*24)*IF($D$16,1000,1609.344))^2)-4.6)/$I$6),$W$125:$W$204,$Y$125:$Y$204),0)</f>
        <v/>
      </c>
      <c r="Y34" s="255">
        <f>IF(N34*O34,LOOKUP(((0.182258*(1/(O34*24)*IF($D$16,1000,1609.344))+(0.000104*(1/(O34*24)*IF($D$16,1000,1609.344))^2)-4.6)/$I$6),$W$125:$W$204,$Y$125:$Y$204),0)</f>
        <v/>
      </c>
      <c r="Z34" s="255">
        <f>IF(M34*P34,LOOKUP(MAX(ROUND(P34/$E$3,2),0.65),$X$125:$X$204,$Y$125:$Y$204),0)</f>
        <v/>
      </c>
    </row>
    <row customHeight="1" ht="13.5" r="35" s="663">
      <c r="B35" s="135">
        <f>IF(AND($D$16,$E$16),B34+2,B34+1)</f>
        <v/>
      </c>
      <c r="C35" s="136">
        <f>IF($D$16,"KM ","Miles ")</f>
        <v/>
      </c>
      <c r="D35" s="1184">
        <f>IF(AND(D$18&lt;&gt;"-",AND(D$14&lt;&gt;"-",D$14&lt;&gt;0)),$B35*D$18*(IF($D$16,D$15,D$14)*1440),"-")</f>
        <v/>
      </c>
      <c r="E35" s="1140">
        <f>IF(AND(E$18&lt;&gt;"-",AND(E$14&lt;&gt;"-",E$14&lt;&gt;0)),$B35*E$18*(IF($D$16,E$15,E$14)*1440),"-")</f>
        <v/>
      </c>
      <c r="F35" s="1141">
        <f>IF(AND(F$18&lt;&gt;"-",AND(F$14&lt;&gt;"-",F$14&lt;&gt;0)),$B35*F$18*(IF($D$16,F$15,F$14)*1440),"-")</f>
        <v/>
      </c>
      <c r="G35" s="1142">
        <f>IF(AND(G$18&lt;&gt;"-",AND(G$14&lt;&gt;"-",G$14&lt;&gt;0)),$B35*G$18*(IF($D$16,G$15,G$14)*1440),"-")</f>
        <v/>
      </c>
      <c r="H35" s="1143">
        <f>IF(AND(H$18&lt;&gt;"-",AND(H$14&lt;&gt;"-",H$14&lt;&gt;0)),$B35*H$18*(IF($D$16,H$15,H$14)*1440),"-")</f>
        <v/>
      </c>
      <c r="I35" s="1144">
        <f>IF(AND(I$18&lt;&gt;"-",AND(I$14&lt;&gt;"-",I$14&lt;&gt;0)),$B35*I$18*(IF($D$16,I$15,I$14)*1440),"-")</f>
        <v/>
      </c>
      <c r="J35" s="1145">
        <f>IF(AND(J$18&lt;&gt;"-",AND(J$14&lt;&gt;"-",J$14&lt;&gt;0)),$B35*J$18*(IF($D$16,J$15,J$14)*1440),"-")</f>
        <v/>
      </c>
      <c r="K35" s="1146" t="inlineStr">
        <is>
          <t>-</t>
        </is>
      </c>
      <c r="L35" s="1196" t="inlineStr">
        <is>
          <t>-</t>
        </is>
      </c>
      <c r="M35" s="250" t="n">
        <v>0.04166666666666666</v>
      </c>
      <c r="N35" s="1207" t="n">
        <v>11</v>
      </c>
      <c r="O35" s="252" t="n">
        <v>0.4861111111111111</v>
      </c>
      <c r="P35" s="253" t="n">
        <v>129</v>
      </c>
      <c r="Q35" s="1208">
        <f>IF($R$29=1,IF(ISNA(W35),"too slow",W35),IF($R$29=2,IF(ISNA(X35),"too slow",X35),IF($R$29=3,IF(ISNA(Y35),"too slow",Y35),Z35)))</f>
        <v/>
      </c>
      <c r="R35" s="1209">
        <f>IF(Q35="Too Slow","",IF($R$29=3,O35*N35*24*Q35,M35*1440*Q35))</f>
        <v/>
      </c>
      <c r="V35" s="1206" t="n"/>
      <c r="W35" s="255">
        <f>IF(M35*N35,LOOKUP(((0.182258*(1/((M35/N35)*1440)*IF($D$16,1000,1609.344))+(0.000104*(1/((M35/N35)*1440)*IF($D$16,1000,1609.344))^2)-4.6)/$I$6),$W$125:$W$204,$Y$125:$Y$204),0)</f>
        <v/>
      </c>
      <c r="X35" s="255">
        <f>IF(M35*O35,LOOKUP(((0.182258*(1/(O35*24)*IF($D$16,1000,1609.344))+(0.000104*(1/(O35*24)*IF($D$16,1000,1609.344))^2)-4.6)/$I$6),$W$125:$W$204,$Y$125:$Y$204),0)</f>
        <v/>
      </c>
      <c r="Y35" s="255">
        <f>IF(N35*O35,LOOKUP(((0.182258*(1/(O35*24)*IF($D$16,1000,1609.344))+(0.000104*(1/(O35*24)*IF($D$16,1000,1609.344))^2)-4.6)/$I$6),$W$125:$W$204,$Y$125:$Y$204),0)</f>
        <v/>
      </c>
      <c r="Z35" s="255">
        <f>IF(M35*P35,LOOKUP(MAX(ROUND(P35/$E$3,2),0.65),$X$125:$X$204,$Y$125:$Y$204),0)</f>
        <v/>
      </c>
    </row>
    <row customHeight="1" ht="13.5" r="36" s="663">
      <c r="B36" s="135">
        <f>IF(AND($D$16,$E$16),B35+2,B35+1)</f>
        <v/>
      </c>
      <c r="C36" s="136">
        <f>IF($D$16,"KM ","Miles ")</f>
        <v/>
      </c>
      <c r="D36" s="1184">
        <f>IF(AND(D$18&lt;&gt;"-",AND(D$14&lt;&gt;"-",D$14&lt;&gt;0)),$B36*D$18*(IF($D$16,D$15,D$14)*1440),"-")</f>
        <v/>
      </c>
      <c r="E36" s="1140">
        <f>IF(AND(E$18&lt;&gt;"-",AND(E$14&lt;&gt;"-",E$14&lt;&gt;0)),$B36*E$18*(IF($D$16,E$15,E$14)*1440),"-")</f>
        <v/>
      </c>
      <c r="F36" s="1141">
        <f>IF(AND(F$18&lt;&gt;"-",AND(F$14&lt;&gt;"-",F$14&lt;&gt;0)),$B36*F$18*(IF($D$16,F$15,F$14)*1440),"-")</f>
        <v/>
      </c>
      <c r="G36" s="1142">
        <f>IF(AND(G$18&lt;&gt;"-",AND(G$14&lt;&gt;"-",G$14&lt;&gt;0)),$B36*G$18*(IF($D$16,G$15,G$14)*1440),"-")</f>
        <v/>
      </c>
      <c r="H36" s="1143">
        <f>IF(AND(H$18&lt;&gt;"-",AND(H$14&lt;&gt;"-",H$14&lt;&gt;0)),$B36*H$18*(IF($D$16,H$15,H$14)*1440),"-")</f>
        <v/>
      </c>
      <c r="I36" s="1144">
        <f>IF(AND(I$18&lt;&gt;"-",AND(I$14&lt;&gt;"-",I$14&lt;&gt;0)),$B36*I$18*(IF($D$16,I$15,I$14)*1440),"-")</f>
        <v/>
      </c>
      <c r="J36" s="1145">
        <f>IF(AND(J$18&lt;&gt;"-",AND(J$14&lt;&gt;"-",J$14&lt;&gt;0)),$B36*J$18*(IF($D$16,J$15,J$14)*1440),"-")</f>
        <v/>
      </c>
      <c r="K36" s="1146" t="inlineStr">
        <is>
          <t>-</t>
        </is>
      </c>
      <c r="L36" s="1196" t="inlineStr">
        <is>
          <t>-</t>
        </is>
      </c>
      <c r="M36" s="250" t="n">
        <v>0.04166666666666666</v>
      </c>
      <c r="N36" s="1207" t="n">
        <v>13</v>
      </c>
      <c r="O36" s="252" t="n"/>
      <c r="P36" s="253" t="n">
        <v>130</v>
      </c>
      <c r="Q36" s="1208">
        <f>IF($R$29=1,IF(ISNA(W36),"too slow",W36),IF($R$29=2,IF(ISNA(X36),"too slow",X36),IF($R$29=3,IF(ISNA(Y36),"too slow",Y36),Z36)))</f>
        <v/>
      </c>
      <c r="R36" s="1209">
        <f>IF(Q36="Too Slow","",IF($R$29=3,O36*N36*24*Q36,M36*1440*Q36))</f>
        <v/>
      </c>
      <c r="V36" s="1206" t="n"/>
      <c r="W36" s="255">
        <f>IF(M36*N36,LOOKUP(((0.182258*(1/((M36/N36)*1440)*IF($D$16,1000,1609.344))+(0.000104*(1/((M36/N36)*1440)*IF($D$16,1000,1609.344))^2)-4.6)/$I$6),$W$125:$W$204,$Y$125:$Y$204),0)</f>
        <v/>
      </c>
      <c r="X36" s="255">
        <f>IF(M36*O36,LOOKUP(((0.182258*(1/(O36*24)*IF($D$16,1000,1609.344))+(0.000104*(1/(O36*24)*IF($D$16,1000,1609.344))^2)-4.6)/$I$6),$W$125:$W$204,$Y$125:$Y$204),0)</f>
        <v/>
      </c>
      <c r="Y36" s="255">
        <f>IF(N36*O36,LOOKUP(((0.182258*(1/(O36*24)*IF($D$16,1000,1609.344))+(0.000104*(1/(O36*24)*IF($D$16,1000,1609.344))^2)-4.6)/$I$6),$W$125:$W$204,$Y$125:$Y$204),0)</f>
        <v/>
      </c>
      <c r="Z36" s="255">
        <f>IF(M36*P36,LOOKUP(MAX(ROUND(P36/$E$3,2),0.65),$X$125:$X$204,$Y$125:$Y$204),0)</f>
        <v/>
      </c>
    </row>
    <row customHeight="1" ht="13.5" r="37" s="663">
      <c r="B37" s="135">
        <f>IF(AND($D$16,$E$16),B36+2,B36+1)</f>
        <v/>
      </c>
      <c r="C37" s="136">
        <f>IF($D$16,"KM ","Miles ")</f>
        <v/>
      </c>
      <c r="D37" s="1184">
        <f>IF(AND(D$18&lt;&gt;"-",AND(D$14&lt;&gt;"-",D$14&lt;&gt;0)),$B37*D$18*(IF($D$16,D$15,D$14)*1440),"-")</f>
        <v/>
      </c>
      <c r="E37" s="1140">
        <f>IF(AND(E$18&lt;&gt;"-",AND(E$14&lt;&gt;"-",E$14&lt;&gt;0)),$B37*E$18*(IF($D$16,E$15,E$14)*1440),"-")</f>
        <v/>
      </c>
      <c r="F37" s="1141">
        <f>IF(AND(F$18&lt;&gt;"-",AND(F$14&lt;&gt;"-",F$14&lt;&gt;0)),$B37*F$18*(IF($D$16,F$15,F$14)*1440),"-")</f>
        <v/>
      </c>
      <c r="G37" s="1142">
        <f>IF(AND(G$18&lt;&gt;"-",AND(G$14&lt;&gt;"-",G$14&lt;&gt;0)),$B37*G$18*(IF($D$16,G$15,G$14)*1440),"-")</f>
        <v/>
      </c>
      <c r="H37" s="1143">
        <f>IF(AND(H$18&lt;&gt;"-",AND(H$14&lt;&gt;"-",H$14&lt;&gt;0)),$B37*H$18*(IF($D$16,H$15,H$14)*1440),"-")</f>
        <v/>
      </c>
      <c r="I37" s="1144">
        <f>IF(AND(I$18&lt;&gt;"-",AND(I$14&lt;&gt;"-",I$14&lt;&gt;0)),$B37*I$18*(IF($D$16,I$15,I$14)*1440),"-")</f>
        <v/>
      </c>
      <c r="J37" s="1145">
        <f>IF(AND(J$18&lt;&gt;"-",AND(J$14&lt;&gt;"-",J$14&lt;&gt;0)),$B37*J$18*(IF($D$16,J$15,J$14)*1440),"-")</f>
        <v/>
      </c>
      <c r="K37" s="1146" t="inlineStr">
        <is>
          <t>-</t>
        </is>
      </c>
      <c r="L37" s="1196" t="inlineStr">
        <is>
          <t>-</t>
        </is>
      </c>
      <c r="M37" s="250" t="n"/>
      <c r="N37" s="1207" t="n"/>
      <c r="O37" s="252" t="n"/>
      <c r="P37" s="253" t="n"/>
      <c r="Q37" s="1208">
        <f>IF($R$29=1,IF(ISNA(W37),"too slow",W37),IF($R$29=2,IF(ISNA(X37),"too slow",X37),IF($R$29=3,IF(ISNA(Y37),"too slow",Y37),Z37)))</f>
        <v/>
      </c>
      <c r="R37" s="1209">
        <f>IF(Q37="Too Slow","",IF($R$29=3,O37*N37*24*Q37,M37*1440*Q37))</f>
        <v/>
      </c>
      <c r="V37" s="1206" t="n"/>
      <c r="W37" s="255">
        <f>IF(M37*N37,LOOKUP(((0.182258*(1/((M37/N37)*1440)*IF($D$16,1000,1609.344))+(0.000104*(1/((M37/N37)*1440)*IF($D$16,1000,1609.344))^2)-4.6)/$I$6),$W$125:$W$204,$Y$125:$Y$204),0)</f>
        <v/>
      </c>
      <c r="X37" s="255">
        <f>IF(M37*O37,LOOKUP(((0.182258*(1/(O37*24)*IF($D$16,1000,1609.344))+(0.000104*(1/(O37*24)*IF($D$16,1000,1609.344))^2)-4.6)/$I$6),$W$125:$W$204,$Y$125:$Y$204),0)</f>
        <v/>
      </c>
      <c r="Y37" s="255">
        <f>IF(N37*O37,LOOKUP(((0.182258*(1/(O37*24)*IF($D$16,1000,1609.344))+(0.000104*(1/(O37*24)*IF($D$16,1000,1609.344))^2)-4.6)/$I$6),$W$125:$W$204,$Y$125:$Y$204),0)</f>
        <v/>
      </c>
      <c r="Z37" s="255">
        <f>IF(M37*P37,LOOKUP(MAX(ROUND(P37/$E$3,2),0.65),$X$125:$X$204,$Y$125:$Y$204),0)</f>
        <v/>
      </c>
    </row>
    <row customHeight="1" ht="13.5" r="38" s="663" thickBot="1">
      <c r="B38" s="170">
        <f>IF(AND($D$16,$E$16),B37+2,B37+1)</f>
        <v/>
      </c>
      <c r="C38" s="171">
        <f>IF($D$16,"KM ","Miles ")</f>
        <v/>
      </c>
      <c r="D38" s="1192">
        <f>IF(AND(D$18&lt;&gt;"-",AND(D$14&lt;&gt;"-",D$14&lt;&gt;0)),$B38*D$18*(IF($D$16,D$15,D$14)*1440),"-")</f>
        <v/>
      </c>
      <c r="E38" s="1157">
        <f>IF(AND(E$18&lt;&gt;"-",AND(E$14&lt;&gt;"-",E$14&lt;&gt;0)),$B38*E$18*(IF($D$16,E$15,E$14)*1440),"-")</f>
        <v/>
      </c>
      <c r="F38" s="1158">
        <f>IF(AND(F$18&lt;&gt;"-",AND(F$14&lt;&gt;"-",F$14&lt;&gt;0)),$B38*F$18*(IF($D$16,F$15,F$14)*1440),"-")</f>
        <v/>
      </c>
      <c r="G38" s="1159">
        <f>IF(AND(G$18&lt;&gt;"-",AND(G$14&lt;&gt;"-",G$14&lt;&gt;0)),$B38*G$18*(IF($D$16,G$15,G$14)*1440),"-")</f>
        <v/>
      </c>
      <c r="H38" s="1160">
        <f>IF(AND(H$18&lt;&gt;"-",AND(H$14&lt;&gt;"-",H$14&lt;&gt;0)),$B38*H$18*(IF($D$16,H$15,H$14)*1440),"-")</f>
        <v/>
      </c>
      <c r="I38" s="1161">
        <f>IF(AND(I$18&lt;&gt;"-",AND(I$14&lt;&gt;"-",I$14&lt;&gt;0)),$B38*I$18*(IF($D$16,I$15,I$14)*1440),"-")</f>
        <v/>
      </c>
      <c r="J38" s="1162">
        <f>IF(AND(J$18&lt;&gt;"-",AND(J$14&lt;&gt;"-",J$14&lt;&gt;0)),$B38*J$18*(IF($D$16,J$15,J$14)*1440),"-")</f>
        <v/>
      </c>
      <c r="K38" s="1163" t="inlineStr">
        <is>
          <t>-</t>
        </is>
      </c>
      <c r="L38" s="1193" t="inlineStr">
        <is>
          <t>-</t>
        </is>
      </c>
      <c r="M38" s="250" t="n"/>
      <c r="N38" s="1207" t="n"/>
      <c r="O38" s="252" t="n"/>
      <c r="P38" s="253" t="n"/>
      <c r="Q38" s="1208">
        <f>IF($R$29=1,IF(ISNA(W38),"too slow",W38),IF($R$29=2,IF(ISNA(X38),"too slow",X38),IF($R$29=3,IF(ISNA(Y38),"too slow",Y38),Z38)))</f>
        <v/>
      </c>
      <c r="R38" s="1209">
        <f>IF(Q38="Too Slow","",IF($R$29=3,O38*N38*24*Q38,M38*1440*Q38))</f>
        <v/>
      </c>
      <c r="V38" s="1206" t="n"/>
      <c r="W38" s="255">
        <f>IF(M38*N38,LOOKUP(((0.182258*(1/((M38/N38)*1440)*IF($D$16,1000,1609.344))+(0.000104*(1/((M38/N38)*1440)*IF($D$16,1000,1609.344))^2)-4.6)/$I$6),$W$125:$W$204,$Y$125:$Y$204),0)</f>
        <v/>
      </c>
      <c r="X38" s="255">
        <f>IF(M38*O38,LOOKUP(((0.182258*(1/(O38*24)*IF($D$16,1000,1609.344))+(0.000104*(1/(O38*24)*IF($D$16,1000,1609.344))^2)-4.6)/$I$6),$W$125:$W$204,$Y$125:$Y$204),0)</f>
        <v/>
      </c>
      <c r="Y38" s="255">
        <f>IF(N38*O38,LOOKUP(((0.182258*(1/(O38*24)*IF($D$16,1000,1609.344))+(0.000104*(1/(O38*24)*IF($D$16,1000,1609.344))^2)-4.6)/$I$6),$W$125:$W$204,$Y$125:$Y$204),0)</f>
        <v/>
      </c>
      <c r="Z38" s="255">
        <f>IF(M38*P38,LOOKUP(MAX(ROUND(P38/$E$3,2),0.65),$X$125:$X$204,$Y$125:$Y$204),0)</f>
        <v/>
      </c>
    </row>
    <row customHeight="1" ht="13.5" r="39" s="663">
      <c r="B39" s="188">
        <f>IF(AND($D$16,$E$16),B38+2,B38+1)</f>
        <v/>
      </c>
      <c r="C39" s="189">
        <f>IF($D$16,"KM ","Miles ")</f>
        <v/>
      </c>
      <c r="D39" s="1170">
        <f>IF(AND(D$18&lt;&gt;"-",AND(D$14&lt;&gt;"-",D$14&lt;&gt;0)),$B39*D$18*(IF($D$16,D$15,D$14)*1440),"-")</f>
        <v/>
      </c>
      <c r="E39" s="1171">
        <f>IF(AND(E$18&lt;&gt;"-",AND(E$14&lt;&gt;"-",E$14&lt;&gt;0)),$B39*E$18*(IF($D$16,E$15,E$14)*1440),"-")</f>
        <v/>
      </c>
      <c r="F39" s="1172">
        <f>IF(AND(F$18&lt;&gt;"-",AND(F$14&lt;&gt;"-",F$14&lt;&gt;0)),$B39*F$18*(IF($D$16,F$15,F$14)*1440),"-")</f>
        <v/>
      </c>
      <c r="G39" s="1173">
        <f>IF(AND(G$18&lt;&gt;"-",AND(G$14&lt;&gt;"-",G$14&lt;&gt;0)),$B39*G$18*(IF($D$16,G$15,G$14)*1440),"-")</f>
        <v/>
      </c>
      <c r="H39" s="1174">
        <f>IF(AND(H$18&lt;&gt;"-",AND(H$14&lt;&gt;"-",H$14&lt;&gt;0)),$B39*H$18*(IF($D$16,H$15,H$14)*1440),"-")</f>
        <v/>
      </c>
      <c r="I39" s="1175">
        <f>IF(AND(I$18&lt;&gt;"-",AND(I$14&lt;&gt;"-",I$14&lt;&gt;0)),$B39*I$18*(IF($D$16,I$15,I$14)*1440),"-")</f>
        <v/>
      </c>
      <c r="J39" s="1176">
        <f>IF(AND(J$18&lt;&gt;"-",AND(J$14&lt;&gt;"-",J$14&lt;&gt;0)),$B39*J$18*(IF($D$16,J$15,J$14)*1440),"-")</f>
        <v/>
      </c>
      <c r="K39" s="1177" t="inlineStr">
        <is>
          <t>-</t>
        </is>
      </c>
      <c r="L39" s="1210" t="inlineStr">
        <is>
          <t>-</t>
        </is>
      </c>
      <c r="M39" s="257" t="n"/>
      <c r="N39" s="1211" t="n"/>
      <c r="O39" s="259" t="n"/>
      <c r="P39" s="260" t="n"/>
      <c r="Q39" s="1212">
        <f>IF($R$29=1,IF(ISNA(W39),"too slow",W39),IF($R$29=2,IF(ISNA(X39),"too slow",X39),IF($R$29=3,IF(ISNA(Y39),"too slow",Y39),Z39)))</f>
        <v/>
      </c>
      <c r="R39" s="1213">
        <f>IF(Q39="Too Slow","",IF($R$29=3,O39*N39*24*Q39,M39*1440*Q39))</f>
        <v/>
      </c>
      <c r="V39" s="1206" t="n"/>
      <c r="W39" s="255">
        <f>IF(M39*N39,LOOKUP(((0.182258*(1/((M39/N39)*1440)*IF($D$16,1000,1609.344))+(0.000104*(1/((M39/N39)*1440)*IF($D$16,1000,1609.344))^2)-4.6)/$I$6),$W$125:$W$204,$Y$125:$Y$204),0)</f>
        <v/>
      </c>
      <c r="X39" s="255">
        <f>IF(M39*O39,LOOKUP(((0.182258*(1/(O39*24)*IF($D$16,1000,1609.344))+(0.000104*(1/(O39*24)*IF($D$16,1000,1609.344))^2)-4.6)/$I$6),$W$125:$W$204,$Y$125:$Y$204),0)</f>
        <v/>
      </c>
      <c r="Y39" s="255">
        <f>IF(N39*O39,LOOKUP(((0.182258*(1/(O39*24)*IF($D$16,1000,1609.344))+(0.000104*(1/(O39*24)*IF($D$16,1000,1609.344))^2)-4.6)/$I$6),$W$125:$W$204,$Y$125:$Y$204),0)</f>
        <v/>
      </c>
      <c r="Z39" s="255">
        <f>IF(M39*P39,LOOKUP(MAX(ROUND(P39/$E$3,2),0.65),$X$125:$X$204,$Y$125:$Y$204),0)</f>
        <v/>
      </c>
    </row>
    <row customHeight="1" ht="13.5" r="40" s="663" thickBot="1">
      <c r="B40" s="135">
        <f>IF(AND($D$16,$E$16),B39+2,B39+1)</f>
        <v/>
      </c>
      <c r="C40" s="136">
        <f>IF($D$16,"KM ","Miles ")</f>
        <v/>
      </c>
      <c r="D40" s="1184">
        <f>IF(AND(D$18&lt;&gt;"-",AND(D$14&lt;&gt;"-",D$14&lt;&gt;0)),$B40*D$18*(IF($D$16,D$15,D$14)*1440),"-")</f>
        <v/>
      </c>
      <c r="E40" s="1140">
        <f>IF(AND(E$18&lt;&gt;"-",AND(E$14&lt;&gt;"-",E$14&lt;&gt;0)),$B40*E$18*(IF($D$16,E$15,E$14)*1440),"-")</f>
        <v/>
      </c>
      <c r="F40" s="1141">
        <f>IF(AND(F$18&lt;&gt;"-",AND(F$14&lt;&gt;"-",F$14&lt;&gt;0)),$B40*F$18*(IF($D$16,F$15,F$14)*1440),"-")</f>
        <v/>
      </c>
      <c r="G40" s="1142">
        <f>IF(AND(G$18&lt;&gt;"-",AND(G$14&lt;&gt;"-",G$14&lt;&gt;0)),$B40*G$18*(IF($D$16,G$15,G$14)*1440),"-")</f>
        <v/>
      </c>
      <c r="H40" s="1143">
        <f>IF(AND(H$18&lt;&gt;"-",AND(H$14&lt;&gt;"-",H$14&lt;&gt;0)),$B40*H$18*(IF($D$16,H$15,H$14)*1440),"-")</f>
        <v/>
      </c>
      <c r="I40" s="1144">
        <f>IF(AND(I$18&lt;&gt;"-",AND(I$14&lt;&gt;"-",I$14&lt;&gt;0)),$B40*I$18*(IF($D$16,I$15,I$14)*1440),"-")</f>
        <v/>
      </c>
      <c r="J40" s="1145">
        <f>IF(AND(J$18&lt;&gt;"-",AND(J$14&lt;&gt;"-",J$14&lt;&gt;0)),$B40*J$18*(IF($D$16,J$15,J$14)*1440),"-")</f>
        <v/>
      </c>
      <c r="K40" s="1146" t="inlineStr">
        <is>
          <t>-</t>
        </is>
      </c>
      <c r="L40" s="1196" t="inlineStr">
        <is>
          <t>-</t>
        </is>
      </c>
      <c r="M40" s="263" t="n"/>
      <c r="N40" s="1214" t="n"/>
      <c r="O40" s="265" t="n"/>
      <c r="P40" s="266" t="n"/>
      <c r="Q40" s="1212">
        <f>IF($R$29=1,IF(ISNA(W40),"too slow",W40),IF($R$29=2,IF(ISNA(X40),"too slow",X40),IF($R$29=3,IF(ISNA(Y40),"too slow",Y40),Z40)))</f>
        <v/>
      </c>
      <c r="R40" s="1213">
        <f>IF(Q40="Too Slow","",IF($R$29=3,O40*N40*24*Q40,M40*1440*Q40))</f>
        <v/>
      </c>
      <c r="V40" s="1206" t="n"/>
      <c r="W40" s="268">
        <f>IF(M40*N40,LOOKUP(((0.182258*(1/((M40/N40)*1440)*IF($D$16,1000,1609.344))+(0.000104*(1/((M40/N40)*1440)*IF($D$16,1000,1609.344))^2)-4.6)/$I$6),$W$125:$W$204,$Y$125:$Y$204),0)</f>
        <v/>
      </c>
      <c r="X40" s="268">
        <f>IF(M40*O40,LOOKUP(((0.182258*(1/(O40*24)*IF($D$16,1000,1609.344))+(0.000104*(1/(O40*24)*IF($D$16,1000,1609.344))^2)-4.6)/$I$6),$W$125:$W$204,$Y$125:$Y$204),0)</f>
        <v/>
      </c>
      <c r="Y40" s="268">
        <f>IF(N40*O40,LOOKUP(((0.182258*(1/(O40*24)*IF($D$16,1000,1609.344))+(0.000104*(1/(O40*24)*IF($D$16,1000,1609.344))^2)-4.6)/$I$6),$W$125:$W$204,$Y$125:$Y$204),0)</f>
        <v/>
      </c>
      <c r="Z40" s="268">
        <f>IF(M40*P40,LOOKUP(MAX(ROUND(P40/$E$3,2),0.65),$X$125:$X$204,$Y$125:$Y$204),0)</f>
        <v/>
      </c>
    </row>
    <row customHeight="1" ht="13.5" r="41" s="663" thickBot="1">
      <c r="B41" s="135">
        <f>IF(AND($D$16,$E$16),B40+2,B40+1)</f>
        <v/>
      </c>
      <c r="C41" s="136">
        <f>IF($D$16,"KM ","Miles ")</f>
        <v/>
      </c>
      <c r="D41" s="1184">
        <f>IF(AND(D$18&lt;&gt;"-",AND(D$14&lt;&gt;"-",D$14&lt;&gt;0)),$B41*D$18*(IF($D$16,D$15,D$14)*1440),"-")</f>
        <v/>
      </c>
      <c r="E41" s="1140">
        <f>IF(AND(E$18&lt;&gt;"-",AND(E$14&lt;&gt;"-",E$14&lt;&gt;0)),$B41*E$18*(IF($D$16,E$15,E$14)*1440),"-")</f>
        <v/>
      </c>
      <c r="F41" s="1141">
        <f>IF(AND(F$18&lt;&gt;"-",AND(F$14&lt;&gt;"-",F$14&lt;&gt;0)),$B41*F$18*(IF($D$16,F$15,F$14)*1440),"-")</f>
        <v/>
      </c>
      <c r="G41" s="1142">
        <f>IF(AND(G$18&lt;&gt;"-",AND(G$14&lt;&gt;"-",G$14&lt;&gt;0)),$B41*G$18*(IF($D$16,G$15,G$14)*1440),"-")</f>
        <v/>
      </c>
      <c r="H41" s="1143">
        <f>IF(AND(H$18&lt;&gt;"-",AND(H$14&lt;&gt;"-",H$14&lt;&gt;0)),$B41*H$18*(IF($D$16,H$15,H$14)*1440),"-")</f>
        <v/>
      </c>
      <c r="I41" s="1144">
        <f>IF(AND(I$18&lt;&gt;"-",AND(I$14&lt;&gt;"-",I$14&lt;&gt;0)),$B41*I$18*(IF($D$16,I$15,I$14)*1440),"-")</f>
        <v/>
      </c>
      <c r="J41" s="1145">
        <f>IF(AND(J$18&lt;&gt;"-",AND(J$14&lt;&gt;"-",J$14&lt;&gt;0)),$B41*J$18*(IF($D$16,J$15,J$14)*1440),"-")</f>
        <v/>
      </c>
      <c r="K41" s="1146" t="inlineStr">
        <is>
          <t>-</t>
        </is>
      </c>
      <c r="L41" s="1196" t="inlineStr">
        <is>
          <t>-</t>
        </is>
      </c>
      <c r="M41" s="269">
        <f>IF(SUM(M31:M40)&gt;0,SUM(M31:M40),"")</f>
        <v/>
      </c>
      <c r="N41" s="1215">
        <f>IF(SUM(N31:N40)&gt;0,SUM(N31:N40),"")</f>
        <v/>
      </c>
      <c r="O41" s="271">
        <f>IF(SUM(O31:O40)&gt;0,AVERAGE(O31:O40),"")</f>
        <v/>
      </c>
      <c r="P41" s="1216">
        <f>IF(SUM(P31:P40)&gt;0,AVERAGE(P31:P40),"")</f>
        <v/>
      </c>
      <c r="Q41" s="273" t="n"/>
      <c r="R41" s="1217">
        <f>IF(SUM(R31:R40)&gt;0,SUM(R31:R40),"")</f>
        <v/>
      </c>
      <c r="S41" s="1065" t="n"/>
      <c r="T41" s="1065" t="n"/>
      <c r="U41" s="1065" t="n"/>
      <c r="W41" s="546" t="n"/>
    </row>
    <row customHeight="1" ht="13.5" r="42" s="663" thickBot="1" thickTop="1">
      <c r="B42" s="135">
        <f>IF(AND($D$16,$E$16),B41+2,B41+1)</f>
        <v/>
      </c>
      <c r="C42" s="136">
        <f>IF($D$16,"KM ","Miles ")</f>
        <v/>
      </c>
      <c r="D42" s="1184">
        <f>IF(AND(D$18&lt;&gt;"-",AND(D$14&lt;&gt;"-",D$14&lt;&gt;0)),$B42*D$18*(IF($D$16,D$15,D$14)*1440),"-")</f>
        <v/>
      </c>
      <c r="E42" s="1140">
        <f>IF(AND(E$18&lt;&gt;"-",AND(E$14&lt;&gt;"-",E$14&lt;&gt;0)),$B42*E$18*(IF($D$16,E$15,E$14)*1440),"-")</f>
        <v/>
      </c>
      <c r="F42" s="1141">
        <f>IF(AND(F$18&lt;&gt;"-",AND(F$14&lt;&gt;"-",F$14&lt;&gt;0)),$B42*F$18*(IF($D$16,F$15,F$14)*1440),"-")</f>
        <v/>
      </c>
      <c r="G42" s="1142">
        <f>IF(AND(G$18&lt;&gt;"-",AND(G$14&lt;&gt;"-",G$14&lt;&gt;0)),$B42*G$18*(IF($D$16,G$15,G$14)*1440),"-")</f>
        <v/>
      </c>
      <c r="H42" s="1143">
        <f>IF(AND(H$18&lt;&gt;"-",AND(H$14&lt;&gt;"-",H$14&lt;&gt;0)),$B42*H$18*(IF($D$16,H$15,H$14)*1440),"-")</f>
        <v/>
      </c>
      <c r="I42" s="1144">
        <f>IF(AND(I$18&lt;&gt;"-",AND(I$14&lt;&gt;"-",I$14&lt;&gt;0)),$B42*I$18*(IF($D$16,I$15,I$14)*1440),"-")</f>
        <v/>
      </c>
      <c r="J42" s="1145">
        <f>IF(AND(J$18&lt;&gt;"-",AND(J$14&lt;&gt;"-",J$14&lt;&gt;0)),$B42*J$18*(IF($D$16,J$15,J$14)*1440),"-")</f>
        <v/>
      </c>
      <c r="K42" s="1146" t="inlineStr">
        <is>
          <t>-</t>
        </is>
      </c>
      <c r="L42" s="1196" t="inlineStr">
        <is>
          <t>-</t>
        </is>
      </c>
      <c r="M42" s="1218" t="inlineStr">
        <is>
          <t xml:space="preserve"> Weekly Point Levels</t>
        </is>
      </c>
      <c r="N42" s="11" t="n"/>
      <c r="O42" s="11" t="n"/>
      <c r="P42" s="11" t="n"/>
      <c r="Q42" s="11" t="n"/>
      <c r="R42" s="1219" t="n"/>
      <c r="S42" s="1065" t="n"/>
      <c r="T42" s="1065" t="n"/>
      <c r="U42" s="1065" t="n"/>
      <c r="V42" s="1220" t="n"/>
      <c r="W42" s="546" t="n"/>
    </row>
    <row customHeight="1" ht="13.5" r="43" s="663" thickBot="1">
      <c r="B43" s="135">
        <f>IF(AND($D$16,$E$16),B42+2,B42+1)</f>
        <v/>
      </c>
      <c r="C43" s="136">
        <f>IF($D$16,"KM ","Miles ")</f>
        <v/>
      </c>
      <c r="D43" s="1192">
        <f>IF(AND(D$18&lt;&gt;"-",AND(D$14&lt;&gt;"-",D$14&lt;&gt;0)),$B43*D$18*(IF($D$16,D$15,D$14)*1440),"-")</f>
        <v/>
      </c>
      <c r="E43" s="1157">
        <f>IF(AND(E$18&lt;&gt;"-",AND(E$14&lt;&gt;"-",E$14&lt;&gt;0)),$B43*E$18*(IF($D$16,E$15,E$14)*1440),"-")</f>
        <v/>
      </c>
      <c r="F43" s="1158">
        <f>IF(AND(F$18&lt;&gt;"-",AND(F$14&lt;&gt;"-",F$14&lt;&gt;0)),$B43*F$18*(IF($D$16,F$15,F$14)*1440),"-")</f>
        <v/>
      </c>
      <c r="G43" s="1159">
        <f>IF(AND(G$18&lt;&gt;"-",AND(G$14&lt;&gt;"-",G$14&lt;&gt;0)),$B43*G$18*(IF($D$16,G$15,G$14)*1440),"-")</f>
        <v/>
      </c>
      <c r="H43" s="1160">
        <f>IF(AND(H$18&lt;&gt;"-",AND(H$14&lt;&gt;"-",H$14&lt;&gt;0)),$B43*H$18*(IF($D$16,H$15,H$14)*1440),"-")</f>
        <v/>
      </c>
      <c r="I43" s="1161">
        <f>IF(AND(I$18&lt;&gt;"-",AND(I$14&lt;&gt;"-",I$14&lt;&gt;0)),$B43*I$18*(IF($D$16,I$15,I$14)*1440),"-")</f>
        <v/>
      </c>
      <c r="J43" s="1162">
        <f>IF(AND(J$18&lt;&gt;"-",AND(J$14&lt;&gt;"-",J$14&lt;&gt;0)),$B43*J$18*(IF($D$16,J$15,J$14)*1440),"-")</f>
        <v/>
      </c>
      <c r="K43" s="1163" t="inlineStr">
        <is>
          <t>-</t>
        </is>
      </c>
      <c r="L43" s="1193" t="inlineStr">
        <is>
          <t>-</t>
        </is>
      </c>
      <c r="M43" s="783" t="inlineStr">
        <is>
          <t>Novice High School - 50</t>
        </is>
      </c>
      <c r="N43" s="1070" t="n"/>
      <c r="O43" s="1088" t="n"/>
      <c r="P43" s="784" t="inlineStr">
        <is>
          <t>College - 150</t>
        </is>
      </c>
      <c r="Q43" s="1070" t="n"/>
      <c r="R43" s="1088" t="n"/>
      <c r="S43" s="1065" t="n"/>
      <c r="T43" s="1065" t="n"/>
      <c r="U43" s="1065" t="n"/>
    </row>
    <row customHeight="1" ht="13.5" r="44" s="663" thickBot="1">
      <c r="B44" s="170">
        <f>IF(AND($D$16,$E$16),B43+2,B43+1)</f>
        <v/>
      </c>
      <c r="C44" s="171">
        <f>IF($D$16,"KM ","Miles ")</f>
        <v/>
      </c>
      <c r="D44" s="1156">
        <f>IF(AND(D$18&lt;&gt;"-",AND(D$14&lt;&gt;"-",D$14&lt;&gt;0)),$B44*D$18*(IF($D$16,D$15,D$14)*1440),"-")</f>
        <v/>
      </c>
      <c r="E44" s="1221">
        <f>IF(AND(E$18&lt;&gt;"-",AND(E$14&lt;&gt;"-",E$14&lt;&gt;0)),$B44*E$18*(IF($D$16,E$15,E$14)*1440),"-")</f>
        <v/>
      </c>
      <c r="F44" s="1222">
        <f>IF(AND(F$18&lt;&gt;"-",AND(F$14&lt;&gt;"-",F$14&lt;&gt;0)),$B44*F$18*(IF($D$16,F$15,F$14)*1440),"-")</f>
        <v/>
      </c>
      <c r="G44" s="1223">
        <f>IF(AND(G$18&lt;&gt;"-",AND(G$14&lt;&gt;"-",G$14&lt;&gt;0)),$B44*G$18*(IF($D$16,G$15,G$14)*1440),"-")</f>
        <v/>
      </c>
      <c r="H44" s="1224">
        <f>IF(AND(H$18&lt;&gt;"-",AND(H$14&lt;&gt;"-",H$14&lt;&gt;0)),$B44*H$18*(IF($D$16,H$15,H$14)*1440),"-")</f>
        <v/>
      </c>
      <c r="I44" s="1225">
        <f>IF(AND(I$18&lt;&gt;"-",AND(I$14&lt;&gt;"-",I$14&lt;&gt;0)),$B44*I$18*(IF($D$16,I$15,I$14)*1440),"-")</f>
        <v/>
      </c>
      <c r="J44" s="1226">
        <f>IF(AND(J$18&lt;&gt;"-",AND(J$14&lt;&gt;"-",J$14&lt;&gt;0)),$B44*J$18*(IF($D$16,J$15,J$14)*1440),"-")</f>
        <v/>
      </c>
      <c r="K44" s="1227" t="inlineStr">
        <is>
          <t>-</t>
        </is>
      </c>
      <c r="L44" s="1228" t="inlineStr">
        <is>
          <t>-</t>
        </is>
      </c>
      <c r="M44" s="786" t="inlineStr">
        <is>
          <t>Advanced High School - 100</t>
        </is>
      </c>
      <c r="N44" s="1096" t="n"/>
      <c r="O44" s="1229" t="n"/>
      <c r="P44" s="787" t="inlineStr">
        <is>
          <t>Elite - 200</t>
        </is>
      </c>
      <c r="Q44" s="1096" t="n"/>
      <c r="R44" s="1229" t="n"/>
      <c r="S44" s="1065" t="n"/>
      <c r="T44" s="1065" t="n"/>
      <c r="U44" s="1065" t="n"/>
    </row>
    <row customHeight="1" ht="13.5" r="45" s="663" thickBot="1">
      <c r="B45" s="1230" t="inlineStr">
        <is>
          <t>This table calculates Intensity Points based on effort (Percent of HRmax) and distance of run.</t>
        </is>
      </c>
      <c r="C45" s="1231" t="n"/>
      <c r="D45" s="1231" t="n"/>
      <c r="E45" s="1231" t="n"/>
      <c r="F45" s="1231" t="n"/>
      <c r="G45" s="1231" t="n"/>
      <c r="H45" s="1231" t="n"/>
      <c r="I45" s="1231" t="n"/>
      <c r="J45" s="1231" t="n"/>
      <c r="K45" s="1231" t="n"/>
      <c r="L45" s="1231" t="n"/>
      <c r="M45" s="1231" t="n"/>
      <c r="N45" s="1231" t="n"/>
      <c r="O45" s="1231" t="n"/>
      <c r="P45" s="1231" t="n"/>
      <c r="Q45" s="1231" t="n"/>
      <c r="R45" s="1232" t="n"/>
      <c r="S45" s="1065" t="n"/>
      <c r="T45" s="1065" t="n"/>
      <c r="U45" s="1065" t="n"/>
    </row>
    <row customHeight="1" ht="13.5" r="46" s="663" thickBot="1" thickTop="1">
      <c r="B46" s="286" t="n"/>
      <c r="C46" s="287" t="n"/>
      <c r="D46" s="286" t="n"/>
      <c r="E46" s="288" t="n"/>
      <c r="F46" s="286" t="n"/>
      <c r="G46" s="288" t="n"/>
      <c r="H46" s="288" t="n"/>
      <c r="I46" s="286" t="n"/>
      <c r="J46" s="286" t="n"/>
      <c r="K46" s="288" t="n"/>
      <c r="L46" s="288" t="n"/>
      <c r="M46" s="288" t="n"/>
      <c r="N46" s="288" t="n"/>
      <c r="O46" s="288" t="n"/>
      <c r="P46" s="288" t="n"/>
      <c r="Q46" s="288" t="n"/>
      <c r="R46" s="288" t="n"/>
      <c r="S46" s="1065" t="n"/>
      <c r="T46" s="1065" t="n"/>
      <c r="U46" s="1065" t="n"/>
      <c r="W46" s="792" t="inlineStr">
        <is>
          <t>For Extended Table</t>
        </is>
      </c>
    </row>
    <row customHeight="1" ht="13.5" r="47" s="663" thickBot="1" thickTop="1">
      <c r="B47" s="809">
        <f>"Pace for Tempo Runs of 20 to 60 Minutes at VDOT "&amp;ROUND($I$6,2) &amp; " (Daniels)"</f>
        <v/>
      </c>
      <c r="C47" s="11" t="n"/>
      <c r="D47" s="11" t="n"/>
      <c r="E47" s="11" t="n"/>
      <c r="F47" s="11" t="n"/>
      <c r="G47" s="11" t="n"/>
      <c r="H47" s="11" t="n"/>
      <c r="I47" s="11" t="n"/>
      <c r="J47" s="11" t="n"/>
      <c r="K47" s="1233" t="n"/>
      <c r="L47" s="289" t="b">
        <v>0</v>
      </c>
      <c r="M47" s="290" t="inlineStr">
        <is>
          <t>Add Time</t>
        </is>
      </c>
      <c r="N47" s="811" t="inlineStr">
        <is>
          <t>Extended Projection Table</t>
        </is>
      </c>
      <c r="O47" s="1234" t="n"/>
      <c r="P47" s="1234" t="n"/>
      <c r="Q47" s="1235" t="inlineStr">
        <is>
          <t>Age/Sex Grading</t>
        </is>
      </c>
      <c r="R47" s="1236" t="n"/>
      <c r="S47" s="1065" t="n"/>
      <c r="T47" s="1065" t="n"/>
      <c r="U47" s="1065" t="n"/>
      <c r="W47" s="769" t="inlineStr">
        <is>
          <t>w/ Daniels Formula</t>
        </is>
      </c>
      <c r="X47" s="640" t="n"/>
      <c r="Y47" s="769" t="inlineStr">
        <is>
          <t>Open Standard</t>
        </is>
      </c>
      <c r="Z47" s="640" t="n"/>
      <c r="AA47" s="640" t="n"/>
      <c r="AB47" s="640" t="n"/>
    </row>
    <row customHeight="1" ht="13.5" r="48" s="663" thickBot="1">
      <c r="B48" s="1237" t="inlineStr">
        <is>
          <t>Duration</t>
        </is>
      </c>
      <c r="C48" s="1238" t="n"/>
      <c r="D48" s="1239" t="n">
        <v>20</v>
      </c>
      <c r="E48" s="1240" t="n">
        <v>25</v>
      </c>
      <c r="F48" s="1240" t="n">
        <v>30</v>
      </c>
      <c r="G48" s="1240" t="n">
        <v>35</v>
      </c>
      <c r="H48" s="1240" t="n">
        <v>40</v>
      </c>
      <c r="I48" s="1240" t="n">
        <v>45</v>
      </c>
      <c r="J48" s="1240" t="n">
        <v>50</v>
      </c>
      <c r="K48" s="1240" t="n">
        <v>55</v>
      </c>
      <c r="L48" s="1241" t="n">
        <v>60</v>
      </c>
      <c r="M48" s="294" t="inlineStr">
        <is>
          <t>(mm:ss)</t>
        </is>
      </c>
      <c r="N48" s="1007">
        <f>"Age: "&amp;$E$5</f>
        <v/>
      </c>
      <c r="O48" s="295" t="n"/>
      <c r="P48" s="716">
        <f>$E$5</f>
        <v/>
      </c>
      <c r="Q48" s="296" t="inlineStr">
        <is>
          <t>vs Age</t>
        </is>
      </c>
      <c r="R48" s="297" t="n">
        <v>35</v>
      </c>
      <c r="S48" s="643" t="n"/>
      <c r="T48" s="1242" t="inlineStr">
        <is>
          <t>2015 Open Class Std</t>
        </is>
      </c>
      <c r="U48" s="1077" t="n"/>
      <c r="W48" s="644" t="n"/>
      <c r="X48" s="665" t="inlineStr">
        <is>
          <t>Daniels %</t>
        </is>
      </c>
      <c r="Y48" s="1035" t="inlineStr">
        <is>
          <t>%VO2max</t>
        </is>
      </c>
      <c r="Z48" s="1238" t="n"/>
      <c r="AA48" s="1036" t="inlineStr">
        <is>
          <t>VDOT</t>
        </is>
      </c>
      <c r="AB48" s="1238" t="n"/>
    </row>
    <row customHeight="1" ht="13.5" r="49" s="663" thickBot="1">
      <c r="B49" s="1243">
        <f>IF($L$47,"Pace / km","Pace / mile")</f>
        <v/>
      </c>
      <c r="C49" s="1088" t="n"/>
      <c r="D49" s="299">
        <f>IF($L$6&lt;&gt;"-",IF($L$47,$L$6*0.621371192,$L$6),"-")</f>
        <v/>
      </c>
      <c r="E49" s="300">
        <f>IF($D$49&lt;&gt;"-",D$49*1.012,"-")</f>
        <v/>
      </c>
      <c r="F49" s="300">
        <f>IF($D$49&lt;&gt;"-",$D$49*1.022,"-")</f>
        <v/>
      </c>
      <c r="G49" s="300">
        <f>IF($D$49&lt;&gt;"-",$D$49*1.027,"-")</f>
        <v/>
      </c>
      <c r="H49" s="300">
        <f>IF($D$49&lt;&gt;"-",$D$49*1.033,"-")</f>
        <v/>
      </c>
      <c r="I49" s="300">
        <f>IF($D$49&lt;&gt;"-",$D$49*1.038,"-")</f>
        <v/>
      </c>
      <c r="J49" s="300">
        <f>IF($D$49&lt;&gt;"-",$D$49*1.043,"-")</f>
        <v/>
      </c>
      <c r="K49" s="300">
        <f>IF($D$49&lt;&gt;"-",$D$49*1.04866,"-")</f>
        <v/>
      </c>
      <c r="L49" s="301">
        <f>IF($D$49&lt;&gt;"-",$D$49*1.055,"-")</f>
        <v/>
      </c>
      <c r="M49" s="1244" t="n">
        <v>0.5354166666666667</v>
      </c>
      <c r="N49" s="303" t="inlineStr">
        <is>
          <t>Distance</t>
        </is>
      </c>
      <c r="O49" s="304" t="inlineStr">
        <is>
          <t>Time</t>
        </is>
      </c>
      <c r="P49" s="305">
        <f>IF($P$70,"Pace/ km","Pace/ mi")</f>
        <v/>
      </c>
      <c r="Q49" s="306" t="b">
        <v>1</v>
      </c>
      <c r="R49" s="307">
        <f>IF($P$70,"Pace/ km","Pace/ mi")</f>
        <v/>
      </c>
      <c r="S49" s="603" t="inlineStr">
        <is>
          <t>miles</t>
        </is>
      </c>
      <c r="T49" s="588" t="inlineStr">
        <is>
          <t>Male</t>
        </is>
      </c>
      <c r="U49" s="589" t="inlineStr">
        <is>
          <t>Female</t>
        </is>
      </c>
      <c r="V49" s="298" t="n"/>
      <c r="W49" s="645" t="inlineStr">
        <is>
          <t>Meters</t>
        </is>
      </c>
      <c r="X49" s="646" t="inlineStr">
        <is>
          <t>of VO2max</t>
        </is>
      </c>
      <c r="Y49" s="1035" t="inlineStr">
        <is>
          <t>Male</t>
        </is>
      </c>
      <c r="Z49" s="1036" t="inlineStr">
        <is>
          <t>Female</t>
        </is>
      </c>
      <c r="AA49" s="1036" t="inlineStr">
        <is>
          <t>Male</t>
        </is>
      </c>
      <c r="AB49" s="1037" t="inlineStr">
        <is>
          <t>Female</t>
        </is>
      </c>
    </row>
    <row customHeight="1" ht="13.5" r="50" s="663" thickBot="1">
      <c r="B50" s="1245" t="inlineStr">
        <is>
          <t>Approx Distance</t>
        </is>
      </c>
      <c r="C50" s="1229" t="n"/>
      <c r="D50" s="1246">
        <f>IF(D49&lt;&gt;"-",IF($L$47,ROUND(D48/D49/1440,1)&amp;" km",ROUND(D48/D49/1440,1)&amp;" mi"),"-")</f>
        <v/>
      </c>
      <c r="E50" s="1247">
        <f>IF(E49&lt;&gt;"-",IF($L$47,ROUND(E48/E49/1440,1)&amp;" km",ROUND(E48/E49/1440,1)&amp;" mi"),"-")</f>
        <v/>
      </c>
      <c r="F50" s="1247">
        <f>IF(F49&lt;&gt;"-",IF($L$47,ROUND(F48/F49/1440,1)&amp;" km",ROUND(F48/F49/1440,1)&amp;" mi"),"-")</f>
        <v/>
      </c>
      <c r="G50" s="1247">
        <f>IF(G49&lt;&gt;"-",IF($L$47,ROUND(G48/G49/1440,1)&amp;" km",ROUND(G48/G49/1440,1)&amp;" mi"),"-")</f>
        <v/>
      </c>
      <c r="H50" s="1247">
        <f>IF(H49&lt;&gt;"-",IF($L$47,ROUND(H48/H49/1440,1)&amp;" km",ROUND(H48/H49/1440,1)&amp;" mi"),"-")</f>
        <v/>
      </c>
      <c r="I50" s="1247">
        <f>IF(I49&lt;&gt;"-",IF($L$47,ROUND(I48/I49/1440,1)&amp;" km",ROUND(I48/I49/1440,1)&amp;" mi"),"-")</f>
        <v/>
      </c>
      <c r="J50" s="1247">
        <f>IF(J49&lt;&gt;"-",IF($L$47,ROUND(J48/J49/1440,1)&amp;" km",ROUND(J48/J49/1440,1)&amp;" mi"),"-")</f>
        <v/>
      </c>
      <c r="K50" s="1247">
        <f>IF(K49&lt;&gt;"-",IF($L$47,ROUND(K48/K49/1440,1)&amp;" km",ROUND(K48/K49/1440,1)&amp;" mi"),"-")</f>
        <v/>
      </c>
      <c r="L50" s="1248">
        <f>IF(L49&lt;&gt;"-",IF($L$47,ROUND(L48/L49/1440,1)&amp;" km",ROUND(L48/L49/1440,1)&amp;" mi"),"-")</f>
        <v/>
      </c>
      <c r="M50" s="1249" t="n">
        <v>0.5076388888888889</v>
      </c>
      <c r="N50" s="312" t="inlineStr">
        <is>
          <t>1500m</t>
        </is>
      </c>
      <c r="O50" s="313">
        <f>IF(AND($E$6&gt;0,$G$6&gt;0),IF($G$16=1,(1/(29.54+5.000663*($I$6*(X50))-0.007546*($I$6*(X50))^2)/1440)*W50,($G$6*(S50/$D$8)^1.06)),"-")</f>
        <v/>
      </c>
      <c r="P50" s="314">
        <f>IF(O50&lt;&gt;"-",O50/S50*IF($P$70,0.621371192,1),"-")</f>
        <v/>
      </c>
      <c r="Q50" s="315">
        <f>IF($O$84="yes",(O50*LOOKUP($E$5,$AB$125:$AB$220,IF($C$4,$AC$125:$AC$220,$AD$125:$AD$220))/LOOKUP($R$48,$AB$125:$AB$220,IF($Q$49,$AC$125:$AC$220,$AD$125:$AD$220)))*(IF(AND($C$4,NOT($Q$49)),LOOKUP($E$5,$AB$125:$AB$220,$AE$125:$AE$220),IF(AND(NOT($C$4),$Q$49),1/LOOKUP($R$48,$AB$125:$AB$220,$AE$125:$AE$220),1))),"-")</f>
        <v/>
      </c>
      <c r="R50" s="1250">
        <f>IF($O$84="yes",Q50/S50*IF($P$70,0.621371192,1),"-")</f>
        <v/>
      </c>
      <c r="S50" s="1251">
        <f>1.5/1.609344</f>
        <v/>
      </c>
      <c r="T50" s="579" t="n">
        <v>0.002372685185185185</v>
      </c>
      <c r="U50" s="580" t="n">
        <v>0.002696759259259259</v>
      </c>
      <c r="V50" s="590" t="inlineStr">
        <is>
          <t>1.5k - 3 mile</t>
        </is>
      </c>
      <c r="W50" s="647">
        <f>S50*1609.344</f>
        <v/>
      </c>
      <c r="X50" s="669">
        <f>IF($G$6&gt;0,0.8+0.1894393 * EXP(-0.012778*O50*1440)+0.2989558* EXP(-0.1932605*O50*1440),0)</f>
        <v/>
      </c>
      <c r="Y50" s="670">
        <f>0.8+0.1894393 * EXP(-0.012778*T50*1440)+0.2989558* EXP(-0.1932605*T50*1440)</f>
        <v/>
      </c>
      <c r="Z50" s="671">
        <f>0.8+0.1894393 * EXP(-0.012778*U50*1440)+0.2989558* EXP(-0.1932605*U50*1440)</f>
        <v/>
      </c>
      <c r="AA50" s="672">
        <f>(-4.6 + 0.182258 * ($W50/T50/1440) + 0.000104 *($W50/T50/1440)^2)/Y50</f>
        <v/>
      </c>
      <c r="AB50" s="673">
        <f>(-4.6 + 0.182258 * ($W50/U50/1440) + 0.000104 *($W50/U50/1440)^2)/Z50</f>
        <v/>
      </c>
    </row>
    <row customHeight="1" ht="13.5" r="51" s="663" thickBot="1">
      <c r="B51" s="1252" t="inlineStr">
        <is>
          <t>20 min run at Threshold Pace - Longer runs adjusted for proper intensity.</t>
        </is>
      </c>
      <c r="C51" s="712" t="n"/>
      <c r="D51" s="712" t="n"/>
      <c r="E51" s="712" t="n"/>
      <c r="F51" s="712" t="n"/>
      <c r="G51" s="712" t="n"/>
      <c r="H51" s="712" t="n"/>
      <c r="I51" s="712" t="n"/>
      <c r="J51" s="712" t="n"/>
      <c r="K51" s="712" t="n"/>
      <c r="L51" s="1253" t="n"/>
      <c r="M51" s="1249" t="n">
        <v>0.4263888888888889</v>
      </c>
      <c r="N51" s="317" t="inlineStr">
        <is>
          <t>1 Mile</t>
        </is>
      </c>
      <c r="O51" s="318">
        <f>IF(AND($E$6&gt;0,$G$6&gt;0),IF($G$16=1,(1/(29.54+5.000663*($I$6*(X51))-0.007546*($I$6*(X51))^2)/1440)*W51,($G$6*(S51/$D$8)^1.06)),"-")</f>
        <v/>
      </c>
      <c r="P51" s="319">
        <f>IF(O51&lt;&gt;"-",O51/S51*IF($P$70,0.621371192,1),"-")</f>
        <v/>
      </c>
      <c r="Q51" s="320">
        <f>IF($O$84="yes",(O51*LOOKUP($E$5,$AB$125:$AB$220,IF($C$4,$AC$125:$AC$220,$AD$125:$AD$220))/LOOKUP($R$48,$AB$125:$AB$220,IF($Q$49,$AC$125:$AC$220,$AD$125:$AD$220)))*(IF(AND($C$4,NOT($Q$49)),LOOKUP($E$5,$AB$125:$AB$220,$AE$125:$AE$220),IF(AND(NOT($C$4),$Q$49),1/LOOKUP($R$48,$AB$125:$AB$220,$AE$125:$AE$220),1))),"-")</f>
        <v/>
      </c>
      <c r="R51" s="1254">
        <f>IF($O$84="yes",Q51/S51*IF($P$70,0.621371192,1),"-")</f>
        <v/>
      </c>
      <c r="S51" s="1251" t="n">
        <v>1</v>
      </c>
      <c r="T51" s="327" t="n">
        <v>0.002569444444444445</v>
      </c>
      <c r="U51" s="328" t="n">
        <v>0.002912037037037037</v>
      </c>
      <c r="V51" s="591" t="inlineStr">
        <is>
          <t>Times are</t>
        </is>
      </c>
      <c r="W51" s="648">
        <f>S51*1609.344</f>
        <v/>
      </c>
      <c r="X51" s="674">
        <f>IF($G$6&gt;0,0.8+0.1894393 * EXP(-0.012778*O51*1440)+0.2989558* EXP(-0.1932605*O51*1440),0)</f>
        <v/>
      </c>
      <c r="Y51" s="675">
        <f>0.8+0.1894393 * EXP(-0.012778*T51*1440)+0.2989558* EXP(-0.1932605*T51*1440)</f>
        <v/>
      </c>
      <c r="Z51" s="674">
        <f>0.8+0.1894393 * EXP(-0.012778*U51*1440)+0.2989558* EXP(-0.1932605*U51*1440)</f>
        <v/>
      </c>
      <c r="AA51" s="676">
        <f>(-4.6 + 0.182258 * ($W51/T51/1440) + 0.000104 *($W51/T51/1440)^2)/Y51</f>
        <v/>
      </c>
      <c r="AB51" s="677">
        <f>(-4.6 + 0.182258 * ($W51/U51/1440) + 0.000104 *($W51/U51/1440)^2)/Z51</f>
        <v/>
      </c>
    </row>
    <row customHeight="1" ht="13.5" r="52" s="663" thickBot="1">
      <c r="B52" s="815" t="inlineStr">
        <is>
          <t>Jack Daniels Online Training Log</t>
        </is>
      </c>
      <c r="C52" s="712" t="n"/>
      <c r="D52" s="712" t="n"/>
      <c r="E52" s="712" t="n"/>
      <c r="F52" s="712" t="n"/>
      <c r="G52" s="816" t="inlineStr">
        <is>
          <t>Run Smart Project (J.Daniels - Head Coach)</t>
        </is>
      </c>
      <c r="H52" s="712" t="n"/>
      <c r="I52" s="712" t="n"/>
      <c r="J52" s="712" t="n"/>
      <c r="K52" s="712" t="n"/>
      <c r="L52" s="1253" t="n"/>
      <c r="M52" s="1249" t="n">
        <v>0.3770833333333333</v>
      </c>
      <c r="N52" s="317" t="inlineStr">
        <is>
          <t>2k</t>
        </is>
      </c>
      <c r="O52" s="318">
        <f>IF(AND($E$6&gt;0,$G$6&gt;0),IF($G$16=1,(1/(29.54+5.000663*($I$6*(X52))-0.007546*($I$6*(X52))^2)/1440)*W52,($G$6*(S52/$D$8)^1.06)),"-")</f>
        <v/>
      </c>
      <c r="P52" s="319">
        <f>IF(O52&lt;&gt;"-",O52/S52*IF($P$70,0.621371192,1),"-")</f>
        <v/>
      </c>
      <c r="Q52" s="320">
        <f>IF($O$84="yes",(O52*LOOKUP($E$5,$AB$125:$AB$220,IF($C$4,$AC$125:$AC$220,$AD$125:$AD$220))/LOOKUP($R$48,$AB$125:$AB$220,IF($Q$49,$AC$125:$AC$220,$AD$125:$AD$220)))*(IF(AND($C$4,NOT($Q$49)),LOOKUP($E$5,$AB$125:$AB$220,$AE$125:$AE$220),IF(AND(NOT($C$4),$Q$49),1/LOOKUP($R$48,$AB$125:$AB$220,$AE$125:$AE$220),1))),"-")</f>
        <v/>
      </c>
      <c r="R52" s="1254">
        <f>IF($O$84="yes",Q52/S52*IF($P$70,0.621371192,1),"-")</f>
        <v/>
      </c>
      <c r="S52" s="1251">
        <f>2/1.609344</f>
        <v/>
      </c>
      <c r="T52" s="327" t="n">
        <v>0.003275462962962963</v>
      </c>
      <c r="U52" s="328" t="n">
        <v>0.003726851851851852</v>
      </c>
      <c r="V52" s="591" t="inlineStr">
        <is>
          <t>taken from</t>
        </is>
      </c>
      <c r="W52" s="648">
        <f>S52*1609.344</f>
        <v/>
      </c>
      <c r="X52" s="674">
        <f>IF($G$6&gt;0,0.8+0.1894393 * EXP(-0.012778*O52*1440)+0.2989558* EXP(-0.1932605*O52*1440),0)</f>
        <v/>
      </c>
      <c r="Y52" s="675">
        <f>0.8+0.1894393 * EXP(-0.012778*T52*1440)+0.2989558* EXP(-0.1932605*T52*1440)</f>
        <v/>
      </c>
      <c r="Z52" s="674">
        <f>0.8+0.1894393 * EXP(-0.012778*U52*1440)+0.2989558* EXP(-0.1932605*U52*1440)</f>
        <v/>
      </c>
      <c r="AA52" s="678">
        <f>(-4.6 + 0.182258 * ($W52/T52/1440) + 0.000104 *($W52/T52/1440)^2)/Y52</f>
        <v/>
      </c>
      <c r="AB52" s="679">
        <f>(-4.6 + 0.182258 * ($W52/U52/1440) + 0.000104 *($W52/U52/1440)^2)/Z52</f>
        <v/>
      </c>
    </row>
    <row customHeight="1" ht="13.5" r="53" s="663" thickBot="1">
      <c r="B53" s="1255">
        <f>"Interval Split Times In "&amp;IF(L53,"Metric","US/Imperial")&amp;" Distances (Daniels)"</f>
        <v/>
      </c>
      <c r="C53" s="712" t="n"/>
      <c r="D53" s="712" t="n"/>
      <c r="E53" s="712" t="n"/>
      <c r="F53" s="712" t="n"/>
      <c r="G53" s="712" t="n"/>
      <c r="H53" s="712" t="n"/>
      <c r="I53" s="712" t="n"/>
      <c r="J53" s="712" t="n"/>
      <c r="K53" s="1238" t="n"/>
      <c r="L53" s="325" t="b">
        <v>0</v>
      </c>
      <c r="M53" s="1249" t="n">
        <v>0.3395833333333333</v>
      </c>
      <c r="N53" s="317" t="inlineStr">
        <is>
          <t>3k</t>
        </is>
      </c>
      <c r="O53" s="318">
        <f>IF(AND($E$6&gt;0,$G$6&gt;0),IF($G$16=1,(1/(29.54+5.000663*($I$6*(X53))-0.007546*($I$6*(X53))^2)/1440)*W53,($G$6*(S53/$D$8)^1.06)),"-")</f>
        <v/>
      </c>
      <c r="P53" s="319">
        <f>IF(O53&lt;&gt;"-",O53/S53*IF($P$70,0.621371192,1),"-")</f>
        <v/>
      </c>
      <c r="Q53" s="320">
        <f>IF($O$84="yes",(O53*LOOKUP($E$5,$AB$125:$AB$220,IF($C$4,$AC$125:$AC$220,$AD$125:$AD$220))/LOOKUP($R$48,$AB$125:$AB$220,IF($Q$49,$AC$125:$AC$220,$AD$125:$AD$220)))*(IF(AND($C$4,NOT($Q$49)),LOOKUP($E$5,$AB$125:$AB$220,$AE$125:$AE$220),IF(AND(NOT($C$4),$Q$49),1/LOOKUP($R$48,$AB$125:$AB$220,$AE$125:$AE$220),1))),"-")</f>
        <v/>
      </c>
      <c r="R53" s="1254">
        <f>IF($O$84="yes",Q53/S53*IF($P$70,0.621371192,1),"-")</f>
        <v/>
      </c>
      <c r="S53" s="1251">
        <f>3/1.609344</f>
        <v/>
      </c>
      <c r="T53" s="327" t="n">
        <v>0.005092592592592593</v>
      </c>
      <c r="U53" s="328" t="n">
        <v>0.005798611111111111</v>
      </c>
      <c r="V53" s="591" t="inlineStr">
        <is>
          <t>Track</t>
        </is>
      </c>
      <c r="W53" s="648">
        <f>S53*1609.344</f>
        <v/>
      </c>
      <c r="X53" s="674">
        <f>IF($G$6&gt;0,0.8+0.1894393 * EXP(-0.012778*O53*1440)+0.2989558* EXP(-0.1932605*O53*1440),0)</f>
        <v/>
      </c>
      <c r="Y53" s="675">
        <f>0.8+0.1894393 * EXP(-0.012778*T53*1440)+0.2989558* EXP(-0.1932605*T53*1440)</f>
        <v/>
      </c>
      <c r="Z53" s="674">
        <f>0.8+0.1894393 * EXP(-0.012778*U53*1440)+0.2989558* EXP(-0.1932605*U53*1440)</f>
        <v/>
      </c>
      <c r="AA53" s="678">
        <f>(-4.6 + 0.182258 * ($W53/T53/1440) + 0.000104 *($W53/T53/1440)^2)/Y53</f>
        <v/>
      </c>
      <c r="AB53" s="679">
        <f>(-4.6 + 0.182258 * ($W53/U53/1440) + 0.000104 *($W53/U53/1440)^2)/Z53</f>
        <v/>
      </c>
    </row>
    <row customHeight="1" ht="13.5" r="54" s="663" thickBot="1">
      <c r="B54" s="1256">
        <f>"Pace per "&amp;IF($L$53,"/ km","/ mile")</f>
        <v/>
      </c>
      <c r="C54" s="1238" t="n"/>
      <c r="D54" s="909">
        <f>IF($L$53,"100m","110yd")</f>
        <v/>
      </c>
      <c r="E54" s="909">
        <f>IF($L$53,"200m","220yd")</f>
        <v/>
      </c>
      <c r="F54" s="909">
        <f>IF($L$53,"300m","330yd")</f>
        <v/>
      </c>
      <c r="G54" s="909">
        <f>IF($L$53,"400m","440yd")</f>
        <v/>
      </c>
      <c r="H54" s="909">
        <f>IF($L$53,"600m","660yd")</f>
        <v/>
      </c>
      <c r="I54" s="909">
        <f>IF($L$53,"800m","880yd")</f>
        <v/>
      </c>
      <c r="J54" s="909">
        <f>IF($L$53,"1000m","1100yd")</f>
        <v/>
      </c>
      <c r="K54" s="909">
        <f>IF($L$53,"1200m","1320yd")</f>
        <v/>
      </c>
      <c r="L54" s="326">
        <f>IF($L$53,"1600m","1 mile")</f>
        <v/>
      </c>
      <c r="M54" s="1249" t="n"/>
      <c r="N54" s="317" t="inlineStr">
        <is>
          <t>2 Mile</t>
        </is>
      </c>
      <c r="O54" s="318">
        <f>IF(AND($E$6&gt;0,$G$6&gt;0),IF($G$16=1,(1/(29.54+5.000663*($I$6*(X54))-0.007546*($I$6*(X54))^2)/1440)*W54,($G$6*(S54/$D$8)^1.06)),"-")</f>
        <v/>
      </c>
      <c r="P54" s="319">
        <f>IF(O54&lt;&gt;"-",O54/S54*IF($P$70,0.621371192,1),"-")</f>
        <v/>
      </c>
      <c r="Q54" s="320">
        <f>IF($O$84="yes",(O54*LOOKUP($E$5,$AB$125:$AB$220,IF($C$4,$AC$125:$AC$220,$AD$125:$AD$220))/LOOKUP($R$48,$AB$125:$AB$220,IF($Q$49,$AC$125:$AC$220,$AD$125:$AD$220)))*(IF(AND($C$4,NOT($Q$49)),LOOKUP($E$5,$AB$125:$AB$220,$AE$125:$AE$220),IF(AND(NOT($C$4),$Q$49),1/LOOKUP($R$48,$AB$125:$AB$220,$AE$125:$AE$220),1))),"-")</f>
        <v/>
      </c>
      <c r="R54" s="1254">
        <f>IF($O$84="yes",Q54/S54*IF($P$70,0.621371192,1),"-")</f>
        <v/>
      </c>
      <c r="S54" s="1251" t="n">
        <v>2</v>
      </c>
      <c r="T54" s="581" t="n">
        <v>0.005486111111111111</v>
      </c>
      <c r="U54" s="582" t="n">
        <v>0.006273148148148148</v>
      </c>
      <c r="V54" s="591" t="inlineStr">
        <is>
          <t>Open Class</t>
        </is>
      </c>
      <c r="W54" s="648">
        <f>S54*1609.344</f>
        <v/>
      </c>
      <c r="X54" s="674">
        <f>IF($G$6&gt;0,0.8+0.1894393 * EXP(-0.012778*O54*1440)+0.2989558* EXP(-0.1932605*O54*1440),0)</f>
        <v/>
      </c>
      <c r="Y54" s="675">
        <f>0.8+0.1894393 * EXP(-0.012778*T54*1440)+0.2989558* EXP(-0.1932605*T54*1440)</f>
        <v/>
      </c>
      <c r="Z54" s="674">
        <f>0.8+0.1894393 * EXP(-0.012778*U54*1440)+0.2989558* EXP(-0.1932605*U54*1440)</f>
        <v/>
      </c>
      <c r="AA54" s="678">
        <f>(-4.6 + 0.182258 * ($W54/T54/1440) + 0.000104 *($W54/T54/1440)^2)/Y54</f>
        <v/>
      </c>
      <c r="AB54" s="679">
        <f>(-4.6 + 0.182258 * ($W54/U54/1440) + 0.000104 *($W54/U54/1440)^2)/Z54</f>
        <v/>
      </c>
    </row>
    <row customHeight="1" ht="13.5" r="55" s="663" thickBot="1">
      <c r="B55" s="1257">
        <f>IF(AND($E$6&gt;0,$G$6&gt;0),(1/(29.54 + 5.000663 * ($I$6*(1.03+0.1*($I$6-30)/55)) - 0.007546 * ($I$6*(1.03+0.1*($I$6-30)/55))^2)*IF($L$53,1000,1609.344)/1440),"-")</f>
        <v/>
      </c>
      <c r="C55" s="1088" t="n"/>
      <c r="D55" s="329">
        <f>IF($R$14&lt;&gt;"-",IF($L$53,B55*0.1,B55*0.0625),"-")</f>
        <v/>
      </c>
      <c r="E55" s="329">
        <f>IF($R$14&lt;&gt;"-",IF($L$53,B55*0.2,B55*0.125),"-")</f>
        <v/>
      </c>
      <c r="F55" s="329">
        <f>IF($R$14&lt;&gt;"-",IF($L$53,B55*0.3,B55*0.1875),"-")</f>
        <v/>
      </c>
      <c r="G55" s="329">
        <f>IF($R$14&lt;&gt;"-",IF($L$53,B55*0.4,B55*0.25),"-")</f>
        <v/>
      </c>
      <c r="H55" s="329">
        <f>IF($R$14&lt;&gt;"-",IF($L$53,B55*0.6,B55*0.375),"-")</f>
        <v/>
      </c>
      <c r="I55" s="329">
        <f>IF($R$14&lt;&gt;"-",IF($L$53,B55*0.8,B55*0.5),"-")</f>
        <v/>
      </c>
      <c r="J55" s="329">
        <f>IF($R$14&lt;&gt;"-",IF($L$53,B55*1,B55*0.625),"-")</f>
        <v/>
      </c>
      <c r="K55" s="329">
        <f>IF($R$14&lt;&gt;"-",IF($L$53,B55*1.2,B55*0.75),"-")</f>
        <v/>
      </c>
      <c r="L55" s="330">
        <f>IF($R$14&lt;&gt;"-",IF($L$53,B55*1.6,B55*1),"-")</f>
        <v/>
      </c>
      <c r="M55" s="1249" t="n"/>
      <c r="N55" s="317" t="inlineStr">
        <is>
          <t>3 Mile</t>
        </is>
      </c>
      <c r="O55" s="318">
        <f>IF(AND($E$6&gt;0,$G$6&gt;0),IF($G$16=1,(1/(29.54+5.000663*($I$6*(X55))-0.007546*($I$6*(X55))^2)/1440)*W55,($G$6*(S55/$D$8)^1.06)),"-")</f>
        <v/>
      </c>
      <c r="P55" s="319">
        <f>IF(O55&lt;&gt;"-",O55/S55*IF($P$70,0.621371192,1),"-")</f>
        <v/>
      </c>
      <c r="Q55" s="320">
        <f>IF($O$84="yes",(O55*LOOKUP($E$5,$AB$125:$AB$220,IF($C$4,$AC$125:$AC$220,$AD$125:$AD$220))/LOOKUP($R$48,$AB$125:$AB$220,IF($Q$49,$AC$125:$AC$220,$AD$125:$AD$220)))*(IF(AND($C$4,NOT($Q$49)),LOOKUP($E$5,$AB$125:$AB$220,$AE$125:$AE$220),IF(AND(NOT($C$4),$Q$49),1/LOOKUP($R$48,$AB$125:$AB$220,$AE$125:$AE$220),1))),"-")</f>
        <v/>
      </c>
      <c r="R55" s="1254">
        <f>IF($O$84="yes",Q55/S55*IF($P$70,0.621371192,1),"-")</f>
        <v/>
      </c>
      <c r="S55" s="1251" t="n">
        <v>3</v>
      </c>
      <c r="T55" s="364" t="n">
        <v>0.008449074074074074</v>
      </c>
      <c r="U55" s="365" t="n">
        <v>0.009641203703703704</v>
      </c>
      <c r="V55" s="592" t="inlineStr">
        <is>
          <t>Standards</t>
        </is>
      </c>
      <c r="W55" s="648">
        <f>S55*1609.344</f>
        <v/>
      </c>
      <c r="X55" s="674">
        <f>IF($G$6&gt;0,0.8+0.1894393 * EXP(-0.012778*O55*1440)+0.2989558* EXP(-0.1932605*O55*1440),0)</f>
        <v/>
      </c>
      <c r="Y55" s="675">
        <f>0.8+0.1894393 * EXP(-0.012778*T55*1440)+0.2989558* EXP(-0.1932605*T55*1440)</f>
        <v/>
      </c>
      <c r="Z55" s="674">
        <f>0.8+0.1894393 * EXP(-0.012778*U55*1440)+0.2989558* EXP(-0.1932605*U55*1440)</f>
        <v/>
      </c>
      <c r="AA55" s="678">
        <f>(-4.6 + 0.182258 * ($W55/T55/1440) + 0.000104 *($W55/T55/1440)^2)/Y55</f>
        <v/>
      </c>
      <c r="AB55" s="679">
        <f>(-4.6 + 0.182258 * ($W55/U55/1440) + 0.000104 *($W55/U55/1440)^2)/Z55</f>
        <v/>
      </c>
    </row>
    <row customHeight="1" ht="13.5" r="56" s="663">
      <c r="B56" s="1258">
        <f>IF(AND($E$6&gt;0,$G$6&gt;0),(1/(29.54 + 5.000663 * ($I$6*0.98) - 0.007546 * ($I$6*0.98)^2)*IF($L$53,1000,1609.344)/1440),"-")</f>
        <v/>
      </c>
      <c r="C56" s="1075" t="n"/>
      <c r="D56" s="331">
        <f>IF($R$14&lt;&gt;"-",IF($L$53,B56*0.1,B56*0.0625),"-")</f>
        <v/>
      </c>
      <c r="E56" s="331">
        <f>IF($R$14&lt;&gt;"-",IF($L$53,B56*0.2,B56*0.125),"-")</f>
        <v/>
      </c>
      <c r="F56" s="331">
        <f>IF($R$14&lt;&gt;"-",IF($L$53,B56*0.3,B56*0.1875),"-")</f>
        <v/>
      </c>
      <c r="G56" s="331">
        <f>IF($R$14&lt;&gt;"-",IF($L$53,B56*0.4,B56*0.25),"-")</f>
        <v/>
      </c>
      <c r="H56" s="331">
        <f>IF($R$14&lt;&gt;"-",IF($L$53,B56*0.6,B56*0.375),"-")</f>
        <v/>
      </c>
      <c r="I56" s="331">
        <f>IF($R$14&lt;&gt;"-",IF($L$53,B56*0.8,B56*0.5),"-")</f>
        <v/>
      </c>
      <c r="J56" s="331">
        <f>IF($R$14&lt;&gt;"-",IF($L$53,B56*1,B56*0.625),"-")</f>
        <v/>
      </c>
      <c r="K56" s="331">
        <f>IF($R$14&lt;&gt;"-",IF($L$53,B56*1.2,B56*0.75),"-")</f>
        <v/>
      </c>
      <c r="L56" s="332">
        <f>IF($R$14&lt;&gt;"-",IF($L$53,B56*1.6,B56*1),"-")</f>
        <v/>
      </c>
      <c r="M56" s="1249" t="n"/>
      <c r="N56" s="317" t="inlineStr">
        <is>
          <t>5k</t>
        </is>
      </c>
      <c r="O56" s="318">
        <f>IF(AND($E$6&gt;0,$G$6&gt;0),IF($G$16=1,(1/(29.54+5.000663*($I$6*(X56))-0.007546*($I$6*(X56))^2)/1440)*W56,($G$6*(S56/$D$8)^1.06)),"-")</f>
        <v/>
      </c>
      <c r="P56" s="319">
        <f>IF(O56&lt;&gt;"-",O56/S56*IF($P$70,0.621371192,1),"-")</f>
        <v/>
      </c>
      <c r="Q56" s="320">
        <f>IF($O$84="yes",(O56*LOOKUP($E$5,$AB$125:$AB$220,IF($C$4,$AC$125:$AC$220,$AD$125:$AD$220))/LOOKUP($R$48,$AB$125:$AB$220,IF($Q$49,$AC$125:$AC$220,$AD$125:$AD$220)))*(IF(AND($C$4,NOT($Q$49)),LOOKUP($E$5,$AB$125:$AB$220,$AE$125:$AE$220),IF(AND(NOT($C$4),$Q$49),1/LOOKUP($R$48,$AB$125:$AB$220,$AE$125:$AE$220),1))),"-")</f>
        <v/>
      </c>
      <c r="R56" s="1254">
        <f>IF($O$84="yes",Q56/S56*IF($P$70,0.621371192,1),"-")</f>
        <v/>
      </c>
      <c r="S56" s="1251">
        <f>5/1.609344</f>
        <v/>
      </c>
      <c r="T56" s="583" t="n">
        <v>0.009016203703703703</v>
      </c>
      <c r="U56" s="584" t="n">
        <v>0.01025462962962963</v>
      </c>
      <c r="V56" s="590" t="n"/>
      <c r="W56" s="648">
        <f>S56*1609.344</f>
        <v/>
      </c>
      <c r="X56" s="674">
        <f>IF($G$6&gt;0,0.8+0.1894393 * EXP(-0.012778*O56*1440)+0.2989558* EXP(-0.1932605*O56*1440),0)</f>
        <v/>
      </c>
      <c r="Y56" s="675">
        <f>0.8+0.1894393 * EXP(-0.012778*T56*1440)+0.2989558* EXP(-0.1932605*T56*1440)</f>
        <v/>
      </c>
      <c r="Z56" s="674">
        <f>0.8+0.1894393 * EXP(-0.012778*U56*1440)+0.2989558* EXP(-0.1932605*U56*1440)</f>
        <v/>
      </c>
      <c r="AA56" s="678">
        <f>(-4.6 + 0.182258 * ($W56/T56/1440) + 0.000104 *($W56/T56/1440)^2)/Y56</f>
        <v/>
      </c>
      <c r="AB56" s="679">
        <f>(-4.6 + 0.182258 * ($W56/U56/1440) + 0.000104 *($W56/U56/1440)^2)/Z56</f>
        <v/>
      </c>
    </row>
    <row customHeight="1" ht="13.5" r="57" s="663" thickBot="1">
      <c r="B57" s="1259">
        <f>IF(AND($E$6&gt;0,$G$6&gt;0),(1/(29.54 + 5.000663 * ($I$6*0.88) - 0.007546 * ($I$6*0.88)^2)*IF($L$53,1000,1609.344)/1440),"-")</f>
        <v/>
      </c>
      <c r="C57" s="1260" t="n"/>
      <c r="D57" s="652">
        <f>IF($R$14&lt;&gt;"-",IF($L$53,B57*0.1,B57*0.0625),"-")</f>
        <v/>
      </c>
      <c r="E57" s="652">
        <f>IF($R$14&lt;&gt;"-",IF($L$53,B57*0.2,B57*0.125),"-")</f>
        <v/>
      </c>
      <c r="F57" s="652">
        <f>IF($R$14&lt;&gt;"-",IF($L$53,B57*0.3,B57*0.1875),"-")</f>
        <v/>
      </c>
      <c r="G57" s="652">
        <f>IF($R$14&lt;&gt;"-",IF($L$53,B57*0.4,B57*0.25),"-")</f>
        <v/>
      </c>
      <c r="H57" s="652">
        <f>IF($R$14&lt;&gt;"-",IF($L$53,B57*0.6,B57*0.375),"-")</f>
        <v/>
      </c>
      <c r="I57" s="652">
        <f>IF($R$14&lt;&gt;"-",IF($L$53,B57*0.8,B57*0.5),"-")</f>
        <v/>
      </c>
      <c r="J57" s="652">
        <f>IF($R$14&lt;&gt;"-",IF($L$53,B57*1,B57*0.625),"-")</f>
        <v/>
      </c>
      <c r="K57" s="652">
        <f>IF($R$14&lt;&gt;"-",IF($L$53,B57*1.2,B57*0.75),"-")</f>
        <v/>
      </c>
      <c r="L57" s="653">
        <f>IF($R$14&lt;&gt;"-",IF($L$53,B57*1.6,B57*1),"-")</f>
        <v/>
      </c>
      <c r="M57" s="1249" t="n"/>
      <c r="N57" s="317" t="inlineStr">
        <is>
          <t>4 Mile</t>
        </is>
      </c>
      <c r="O57" s="318">
        <f>IF(AND($E$6&gt;0,$G$6&gt;0),IF($G$16=1,(1/(29.54+5.000663*($I$6*(X57))-0.007546*($I$6*(X57))^2)/1440)*W57,($G$6*(S57/$D$8)^1.06)),"-")</f>
        <v/>
      </c>
      <c r="P57" s="319">
        <f>IF(O57&lt;&gt;"-",O57/S57*IF($P$70,0.621371192,1),"-")</f>
        <v/>
      </c>
      <c r="Q57" s="320">
        <f>IF($O$84="yes",(O57*LOOKUP($E$5,$AB$125:$AB$220,IF($C$4,$AC$125:$AC$220,$AD$125:$AD$220))/LOOKUP($R$48,$AB$125:$AB$220,IF($Q$49,$AC$125:$AC$220,$AD$125:$AD$220)))*(IF(AND($C$4,NOT($Q$49)),LOOKUP($E$5,$AB$125:$AB$220,$AE$125:$AE$220),IF(AND(NOT($C$4),$Q$49),1/LOOKUP($R$48,$AB$125:$AB$220,$AE$125:$AE$220),1))),"-")</f>
        <v/>
      </c>
      <c r="R57" s="1254">
        <f>IF($O$84="yes",Q57/S57*IF($P$70,0.621371192,1),"-")</f>
        <v/>
      </c>
      <c r="S57" s="1251" t="n">
        <v>4</v>
      </c>
      <c r="T57" s="327" t="n">
        <v>0.01173611111111111</v>
      </c>
      <c r="U57" s="328" t="n">
        <v>0.01341435185185185</v>
      </c>
      <c r="V57" s="591" t="n"/>
      <c r="W57" s="648">
        <f>S57*1609.344</f>
        <v/>
      </c>
      <c r="X57" s="674">
        <f>IF($G$6&gt;0,0.8+0.1894393 * EXP(-0.012778*O57*1440)+0.2989558* EXP(-0.1932605*O57*1440),0)</f>
        <v/>
      </c>
      <c r="Y57" s="675">
        <f>0.8+0.1894393 * EXP(-0.012778*T57*1440)+0.2989558* EXP(-0.1932605*T57*1440)</f>
        <v/>
      </c>
      <c r="Z57" s="674">
        <f>0.8+0.1894393 * EXP(-0.012778*U57*1440)+0.2989558* EXP(-0.1932605*U57*1440)</f>
        <v/>
      </c>
      <c r="AA57" s="678">
        <f>(-4.6 + 0.182258 * ($W57/T57/1440) + 0.000104 *($W57/T57/1440)^2)/Y57</f>
        <v/>
      </c>
      <c r="AB57" s="679">
        <f>(-4.6 + 0.182258 * ($W57/U57/1440) + 0.000104 *($W57/U57/1440)^2)/Z57</f>
        <v/>
      </c>
    </row>
    <row customHeight="1" ht="13.5" r="58" s="663" thickTop="1">
      <c r="B58" s="1261">
        <f>IF($L$53, R15,R14)</f>
        <v/>
      </c>
      <c r="C58" s="1262" t="n"/>
      <c r="D58" s="654">
        <f>IF($R$14&lt;&gt;"-",IF($L$53,R15*0.1,R14*0.0625),"-")</f>
        <v/>
      </c>
      <c r="E58" s="654">
        <f>IF($R$14&lt;&gt;"-",IF($L$53,R15*0.2,R14*0.125),"-")</f>
        <v/>
      </c>
      <c r="F58" s="654">
        <f>IF($R$14&lt;&gt;"-",IF($L$53,R15*0.3,R14*0.1875),"-")</f>
        <v/>
      </c>
      <c r="G58" s="654">
        <f>IF($R$14&lt;&gt;"-",IF($L$53,R15*0.4,R14*0.25),"-")</f>
        <v/>
      </c>
      <c r="H58" s="654">
        <f>IF($R$14&lt;&gt;"-",IF($L$53,R15*0.6,R14*0.375),"-")</f>
        <v/>
      </c>
      <c r="I58" s="654">
        <f>IF($R$14&lt;&gt;"-",IF($L$53,R15*0.8,R14*0.5),"-")</f>
        <v/>
      </c>
      <c r="J58" s="654">
        <f>IF($R$14&lt;&gt;"-",IF($L$53,R15,R14*0.625),"-")</f>
        <v/>
      </c>
      <c r="K58" s="654">
        <f>IF($R$14&lt;&gt;"-",IF($L$53,R15*1.2,R14*0.75),"-")</f>
        <v/>
      </c>
      <c r="L58" s="655">
        <f>IF($R$14&lt;&gt;"-",IF($L$53,R15*1.6,R14),"-")</f>
        <v/>
      </c>
      <c r="M58" s="1249" t="n"/>
      <c r="N58" s="317" t="inlineStr">
        <is>
          <t>8k</t>
        </is>
      </c>
      <c r="O58" s="318">
        <f>IF(AND($E$6&gt;0,$G$6&gt;0),IF($G$16=1,(1/(29.54+5.000663*($I$6*(X58))-0.007546*($I$6*(X58))^2)/1440)*W58,($G$6*(S58/$D$8)^1.06)),"-")</f>
        <v/>
      </c>
      <c r="P58" s="319">
        <f>IF(O58&lt;&gt;"-",O58/S58*IF($P$70,0.621371192,1),"-")</f>
        <v/>
      </c>
      <c r="Q58" s="320">
        <f>IF($O$84="yes",(O58*LOOKUP($E$5,$AB$125:$AB$220,IF($C$4,$AC$125:$AC$220,$AD$125:$AD$220))/LOOKUP($R$48,$AB$125:$AB$220,IF($Q$49,$AC$125:$AC$220,$AD$125:$AD$220)))*(IF(AND($C$4,NOT($Q$49)),LOOKUP($E$5,$AB$125:$AB$220,$AE$125:$AE$220),IF(AND(NOT($C$4),$Q$49),1/LOOKUP($R$48,$AB$125:$AB$220,$AE$125:$AE$220),1))),"-")</f>
        <v/>
      </c>
      <c r="R58" s="1254">
        <f>IF($O$84="yes",Q58/S58*IF($P$70,0.621371192,1),"-")</f>
        <v/>
      </c>
      <c r="S58" s="1251">
        <f>8/1.609344</f>
        <v/>
      </c>
      <c r="T58" s="327" t="n">
        <v>0.01472222222222222</v>
      </c>
      <c r="U58" s="328" t="n">
        <v>0.01668981481481481</v>
      </c>
      <c r="V58" s="593" t="inlineStr">
        <is>
          <t>5k - 50k</t>
        </is>
      </c>
      <c r="W58" s="648">
        <f>S58*1609.344</f>
        <v/>
      </c>
      <c r="X58" s="674">
        <f>IF($G$6&gt;0,0.8+0.1894393 * EXP(-0.012778*O58*1440)+0.2989558* EXP(-0.1932605*O58*1440),0)</f>
        <v/>
      </c>
      <c r="Y58" s="675">
        <f>0.8+0.1894393 * EXP(-0.012778*T58*1440)+0.2989558* EXP(-0.1932605*T58*1440)</f>
        <v/>
      </c>
      <c r="Z58" s="674">
        <f>0.8+0.1894393 * EXP(-0.012778*U58*1440)+0.2989558* EXP(-0.1932605*U58*1440)</f>
        <v/>
      </c>
      <c r="AA58" s="678">
        <f>(-4.6 + 0.182258 * ($W58/T58/1440) + 0.000104 *($W58/T58/1440)^2)/Y58</f>
        <v/>
      </c>
      <c r="AB58" s="679">
        <f>(-4.6 + 0.182258 * ($W58/U58/1440) + 0.000104 *($W58/U58/1440)^2)/Z58</f>
        <v/>
      </c>
    </row>
    <row customHeight="1" ht="13.5" r="59" s="663">
      <c r="B59" s="1263">
        <f>IF($L$53, P15,P14)</f>
        <v/>
      </c>
      <c r="C59" s="1075" t="n"/>
      <c r="D59" s="331">
        <f>IF($P$14&lt;&gt;"-",IF($L$53,P15*0.1,P14*0.0625),"-")</f>
        <v/>
      </c>
      <c r="E59" s="331">
        <f>IF($P$14&lt;&gt;"-",IF($L$53,P15*0.2,P14*0.125),"-")</f>
        <v/>
      </c>
      <c r="F59" s="331">
        <f>IF($P$14&lt;&gt;"-",IF($L$53,P15*0.3,P14*0.1875),"-")</f>
        <v/>
      </c>
      <c r="G59" s="331">
        <f>IF($P$14&lt;&gt;"-",IF($L$53,P15*0.4,P14*0.25),"-")</f>
        <v/>
      </c>
      <c r="H59" s="331">
        <f>IF($P$14&lt;&gt;"-",IF($L$53,P15*0.6,P14*0.375),"-")</f>
        <v/>
      </c>
      <c r="I59" s="331">
        <f>IF($P$14&lt;&gt;"-",IF($L$53,P15*0.8,P14*0.5),"-")</f>
        <v/>
      </c>
      <c r="J59" s="331">
        <f>IF($P$14&lt;&gt;"-",IF($L$53,P15,P14*0.625),"-")</f>
        <v/>
      </c>
      <c r="K59" s="331">
        <f>IF($P$14&lt;&gt;"-",IF($L$53,P15*1.2,P14*0.75),"-")</f>
        <v/>
      </c>
      <c r="L59" s="332">
        <f>IF($P$14&lt;&gt;"-",IF($L$53,P15*1.6,P14),"-")</f>
        <v/>
      </c>
      <c r="M59" s="1249" t="n"/>
      <c r="N59" s="317" t="inlineStr">
        <is>
          <t>5 Mile</t>
        </is>
      </c>
      <c r="O59" s="318">
        <f>IF(AND($E$6&gt;0,$G$6&gt;0),IF($G$16=1,(1/(29.54+5.000663*($I$6*(X59))-0.007546*($I$6*(X59))^2)/1440)*W59,($G$6*(S59/$D$8)^1.06)),"-")</f>
        <v/>
      </c>
      <c r="P59" s="319">
        <f>IF(O59&lt;&gt;"-",O59/S59*IF($P$70,0.621371192,1),"-")</f>
        <v/>
      </c>
      <c r="Q59" s="320">
        <f>IF($O$84="yes",(O59*LOOKUP($E$5,$AB$125:$AB$220,IF($C$4,$AC$125:$AC$220,$AD$125:$AD$220))/LOOKUP($R$48,$AB$125:$AB$220,IF($Q$49,$AC$125:$AC$220,$AD$125:$AD$220)))*(IF(AND($C$4,NOT($Q$49)),LOOKUP($E$5,$AB$125:$AB$220,$AE$125:$AE$220),IF(AND(NOT($C$4),$Q$49),1/LOOKUP($R$48,$AB$125:$AB$220,$AE$125:$AE$220),1))),"-")</f>
        <v/>
      </c>
      <c r="R59" s="1254">
        <f>IF($O$84="yes",Q59/S59*IF($P$70,0.621371192,1),"-")</f>
        <v/>
      </c>
      <c r="S59" s="1251" t="n">
        <v>5</v>
      </c>
      <c r="T59" s="327" t="n">
        <v>0.01480324074074074</v>
      </c>
      <c r="U59" s="328" t="n">
        <v>0.01680555555555556</v>
      </c>
      <c r="V59" s="591" t="inlineStr">
        <is>
          <t>Times are</t>
        </is>
      </c>
      <c r="W59" s="648">
        <f>S59*1609.344</f>
        <v/>
      </c>
      <c r="X59" s="674">
        <f>IF($G$6&gt;0,0.8+0.1894393 * EXP(-0.012778*O59*1440)+0.2989558* EXP(-0.1932605*O59*1440),0)</f>
        <v/>
      </c>
      <c r="Y59" s="675">
        <f>0.8+0.1894393 * EXP(-0.012778*T59*1440)+0.2989558* EXP(-0.1932605*T59*1440)</f>
        <v/>
      </c>
      <c r="Z59" s="674">
        <f>0.8+0.1894393 * EXP(-0.012778*U59*1440)+0.2989558* EXP(-0.1932605*U59*1440)</f>
        <v/>
      </c>
      <c r="AA59" s="678">
        <f>(-4.6 + 0.182258 * ($W59/T59/1440) + 0.000104 *($W59/T59/1440)^2)/Y59</f>
        <v/>
      </c>
      <c r="AB59" s="679">
        <f>(-4.6 + 0.182258 * ($W59/U59/1440) + 0.000104 *($W59/U59/1440)^2)/Z59</f>
        <v/>
      </c>
    </row>
    <row customHeight="1" ht="13.5" r="60" s="663" thickBot="1">
      <c r="B60" s="1264">
        <f>IF($L$53,N15,N14)</f>
        <v/>
      </c>
      <c r="C60" s="1229" t="n"/>
      <c r="D60" s="333">
        <f>IF($N$14&lt;&gt;"-",IF($L$53,N15*0.1,N14*0.0625),"-")</f>
        <v/>
      </c>
      <c r="E60" s="333">
        <f>IF($N$14&lt;&gt;"-",IF($L$53,N15*0.2,N14*0.125),"-")</f>
        <v/>
      </c>
      <c r="F60" s="333">
        <f>IF($N$14&lt;&gt;"-",IF($L$53,N15*0.3,N14*0.1875),"-")</f>
        <v/>
      </c>
      <c r="G60" s="333">
        <f>IF($N$14&lt;&gt;"-",IF($L$53,N15*0.4,N14*0.25),"-")</f>
        <v/>
      </c>
      <c r="H60" s="333">
        <f>IF($N$14&lt;&gt;"-",IF($L$53,N15*0.6,N14*0.375),"-")</f>
        <v/>
      </c>
      <c r="I60" s="333">
        <f>IF($N$14&lt;&gt;"-",IF($L$53,N15*0.8,N14*0.5),"-")</f>
        <v/>
      </c>
      <c r="J60" s="333">
        <f>IF($N$14&lt;&gt;"-",IF($L$53,N15,N14*0.625),"-")</f>
        <v/>
      </c>
      <c r="K60" s="333">
        <f>IF($N$14&lt;&gt;"-",IF($L$53,N15*1.2,N14*0.75),"-")</f>
        <v/>
      </c>
      <c r="L60" s="334">
        <f>IF($N$14&lt;&gt;"-",IF($L$53,N15*1.6,N14),"-")</f>
        <v/>
      </c>
      <c r="M60" s="1249" t="n"/>
      <c r="N60" s="317" t="inlineStr">
        <is>
          <t>10k</t>
        </is>
      </c>
      <c r="O60" s="318">
        <f>IF(AND($E$6&gt;0,$G$6&gt;0),IF($G$16=1,(1/(29.54+5.000663*($I$6*(X60))-0.007546*($I$6*(X60))^2)/1440)*W60,($G$6*(S60/$D$8)^1.06)),"-")</f>
        <v/>
      </c>
      <c r="P60" s="319">
        <f>IF(O60&lt;&gt;"-",O60/S60*IF($P$70,0.621371192,1),"-")</f>
        <v/>
      </c>
      <c r="Q60" s="320">
        <f>IF($O$84="yes",(O60*LOOKUP($E$5,$AB$125:$AB$220,IF($C$4,$AC$125:$AC$220,$AD$125:$AD$220))/LOOKUP($R$48,$AB$125:$AB$220,IF($Q$49,$AC$125:$AC$220,$AD$125:$AD$220)))*(IF(AND($C$4,NOT($Q$49)),LOOKUP($E$5,$AB$125:$AB$220,$AE$125:$AE$220),IF(AND(NOT($C$4),$Q$49),1/LOOKUP($R$48,$AB$125:$AB$220,$AE$125:$AE$220),1))),"-")</f>
        <v/>
      </c>
      <c r="R60" s="1254">
        <f>IF($O$84="yes",Q60/S60*IF($P$70,0.621371192,1),"-")</f>
        <v/>
      </c>
      <c r="S60" s="1251">
        <f>10/1.609344</f>
        <v/>
      </c>
      <c r="T60" s="327" t="n">
        <v>0.01855324074074074</v>
      </c>
      <c r="U60" s="328" t="n">
        <v>0.02106481481481481</v>
      </c>
      <c r="V60" s="591" t="inlineStr">
        <is>
          <t>taken from</t>
        </is>
      </c>
      <c r="W60" s="648">
        <f>S60*1609.344</f>
        <v/>
      </c>
      <c r="X60" s="674">
        <f>IF($G$6&gt;0,0.8+0.1894393 * EXP(-0.012778*O60*1440)+0.2989558* EXP(-0.1932605*O60*1440),0)</f>
        <v/>
      </c>
      <c r="Y60" s="675">
        <f>0.8+0.1894393 * EXP(-0.012778*T60*1440)+0.2989558* EXP(-0.1932605*T60*1440)</f>
        <v/>
      </c>
      <c r="Z60" s="674">
        <f>0.8+0.1894393 * EXP(-0.012778*U60*1440)+0.2989558* EXP(-0.1932605*U60*1440)</f>
        <v/>
      </c>
      <c r="AA60" s="678">
        <f>(-4.6 + 0.182258 * ($W60/T60/1440) + 0.000104 *($W60/T60/1440)^2)/Y60</f>
        <v/>
      </c>
      <c r="AB60" s="679">
        <f>(-4.6 + 0.182258 * ($W60/U60/1440) + 0.000104 *($W60/U60/1440)^2)/Z60</f>
        <v/>
      </c>
    </row>
    <row customHeight="1" ht="13.5" r="61" s="663" thickBot="1">
      <c r="B61" s="1265" t="inlineStr">
        <is>
          <t>Top 3 are Daniels' R, I, and T Paces - Bottom 3 are Generic 1 Mile, 5k, and 10k Paced Intervals</t>
        </is>
      </c>
      <c r="C61" s="712" t="n"/>
      <c r="D61" s="712" t="n"/>
      <c r="E61" s="712" t="n"/>
      <c r="F61" s="712" t="n"/>
      <c r="G61" s="712" t="n"/>
      <c r="H61" s="712" t="n"/>
      <c r="I61" s="712" t="n"/>
      <c r="J61" s="712" t="n"/>
      <c r="K61" s="712" t="n"/>
      <c r="L61" s="1253" t="n"/>
      <c r="M61" s="1249" t="n"/>
      <c r="N61" s="317" t="inlineStr">
        <is>
          <t>12k</t>
        </is>
      </c>
      <c r="O61" s="318">
        <f>IF(AND($E$6&gt;0,$G$6&gt;0),IF($G$16=1,(1/(29.54+5.000663*($I$6*(X61))-0.007546*($I$6*(X61))^2)/1440)*W61,($G$6*(S61/$D$8)^1.06)),"-")</f>
        <v/>
      </c>
      <c r="P61" s="319">
        <f>IF(O61&lt;&gt;"-",O61/S61*IF($P$70,0.621371192,1),"-")</f>
        <v/>
      </c>
      <c r="Q61" s="320">
        <f>IF($O$84="yes",(O61*LOOKUP($E$5,$AB$125:$AB$220,IF($C$4,$AC$125:$AC$220,$AD$125:$AD$220))/LOOKUP($R$48,$AB$125:$AB$220,IF($Q$49,$AC$125:$AC$220,$AD$125:$AD$220)))*(IF(AND($C$4,NOT($Q$49)),LOOKUP($E$5,$AB$125:$AB$220,$AE$125:$AE$220),IF(AND(NOT($C$4),$Q$49),1/LOOKUP($R$48,$AB$125:$AB$220,$AE$125:$AE$220),1))),"-")</f>
        <v/>
      </c>
      <c r="R61" s="1254">
        <f>IF($O$84="yes",Q61/S61*IF($P$70,0.621371192,1),"-")</f>
        <v/>
      </c>
      <c r="S61" s="1251">
        <f>12/1.609344</f>
        <v/>
      </c>
      <c r="T61" s="327" t="n">
        <v>0.02247685185185185</v>
      </c>
      <c r="U61" s="328" t="n">
        <v>0.02539351851851852</v>
      </c>
      <c r="V61" s="593" t="inlineStr">
        <is>
          <t>Road</t>
        </is>
      </c>
      <c r="W61" s="648">
        <f>S61*1609.344</f>
        <v/>
      </c>
      <c r="X61" s="674">
        <f>IF($G$6&gt;0,0.8+0.1894393 * EXP(-0.012778*O61*1440)+0.2989558* EXP(-0.1932605*O61*1440),0)</f>
        <v/>
      </c>
      <c r="Y61" s="675">
        <f>0.8+0.1894393 * EXP(-0.012778*T61*1440)+0.2989558* EXP(-0.1932605*T61*1440)</f>
        <v/>
      </c>
      <c r="Z61" s="674">
        <f>0.8+0.1894393 * EXP(-0.012778*U61*1440)+0.2989558* EXP(-0.1932605*U61*1440)</f>
        <v/>
      </c>
      <c r="AA61" s="678">
        <f>(-4.6 + 0.182258 * ($W61/T61/1440) + 0.000104 *($W61/T61/1440)^2)/Y61</f>
        <v/>
      </c>
      <c r="AB61" s="679">
        <f>(-4.6 + 0.182258 * ($W61/U61/1440) + 0.000104 *($W61/U61/1440)^2)/Z61</f>
        <v/>
      </c>
    </row>
    <row customHeight="1" ht="13.5" r="62" s="663" thickBot="1">
      <c r="B62" s="656" t="n"/>
      <c r="C62" s="656" t="n"/>
      <c r="D62" s="656" t="n"/>
      <c r="E62" s="656" t="n"/>
      <c r="F62" s="656" t="n"/>
      <c r="G62" s="656" t="n"/>
      <c r="H62" s="656" t="n"/>
      <c r="I62" s="656" t="n"/>
      <c r="J62" s="656" t="n"/>
      <c r="K62" s="656" t="n"/>
      <c r="L62" s="657" t="n"/>
      <c r="M62" s="1266">
        <f>(SUM(M49:M61)/60)*M66</f>
        <v/>
      </c>
      <c r="N62" s="317" t="inlineStr">
        <is>
          <t>15k</t>
        </is>
      </c>
      <c r="O62" s="318">
        <f>IF(AND($E$6&gt;0,$G$6&gt;0),IF($G$16=1,(1/(29.54+5.000663*($I$6*(X62))-0.007546*($I$6*(X62))^2)/1440)*W62,($G$6*(S62/$D$8)^1.06)),"-")</f>
        <v/>
      </c>
      <c r="P62" s="319">
        <f>IF(O62&lt;&gt;"-",O62/S62*IF($P$70,0.621371192,1),"-")</f>
        <v/>
      </c>
      <c r="Q62" s="320">
        <f>IF($O$84="yes",(O62*LOOKUP($E$5,$AB$125:$AB$220,IF($C$4,$AC$125:$AC$220,$AD$125:$AD$220))/LOOKUP($R$48,$AB$125:$AB$220,IF($Q$49,$AC$125:$AC$220,$AD$125:$AD$220)))*(IF(AND($C$4,NOT($Q$49)),LOOKUP($E$5,$AB$125:$AB$220,$AE$125:$AE$220),IF(AND(NOT($C$4),$Q$49),1/LOOKUP($R$48,$AB$125:$AB$220,$AE$125:$AE$220),1))),"-")</f>
        <v/>
      </c>
      <c r="R62" s="1254">
        <f>IF($O$84="yes",Q62/S62*IF($P$70,0.621371192,1),"-")</f>
        <v/>
      </c>
      <c r="S62" s="1251">
        <f>15/1.609344</f>
        <v/>
      </c>
      <c r="T62" s="327" t="n">
        <v>0.02841435185185185</v>
      </c>
      <c r="U62" s="328" t="n">
        <v>0.03188657407407407</v>
      </c>
      <c r="V62" s="593" t="inlineStr">
        <is>
          <t>Racing</t>
        </is>
      </c>
      <c r="W62" s="648">
        <f>S62*1609.344</f>
        <v/>
      </c>
      <c r="X62" s="674">
        <f>IF($G$6&gt;0,0.8+0.1894393 * EXP(-0.012778*O62*1440)+0.2989558* EXP(-0.1932605*O62*1440),0)</f>
        <v/>
      </c>
      <c r="Y62" s="675">
        <f>0.8+0.1894393 * EXP(-0.012778*T62*1440)+0.2989558* EXP(-0.1932605*T62*1440)</f>
        <v/>
      </c>
      <c r="Z62" s="674">
        <f>0.8+0.1894393 * EXP(-0.012778*U62*1440)+0.2989558* EXP(-0.1932605*U62*1440)</f>
        <v/>
      </c>
      <c r="AA62" s="678">
        <f>(-4.6 + 0.182258 * ($W62/T62/1440) + 0.000104 *($W62/T62/1440)^2)/Y62</f>
        <v/>
      </c>
      <c r="AB62" s="679">
        <f>(-4.6 + 0.182258 * ($W62/U62/1440) + 0.000104 *($W62/U62/1440)^2)/Z62</f>
        <v/>
      </c>
    </row>
    <row customHeight="1" ht="13.5" r="63" s="663" thickBot="1">
      <c r="B63" s="819" t="inlineStr">
        <is>
          <t>McMillanRunning.com</t>
        </is>
      </c>
      <c r="C63" s="712" t="n"/>
      <c r="D63" s="712" t="n"/>
      <c r="E63" s="712" t="n"/>
      <c r="F63" s="822" t="inlineStr">
        <is>
          <t xml:space="preserve"> Training Range Guideline Approximations</t>
        </is>
      </c>
      <c r="G63" s="712" t="n"/>
      <c r="H63" s="712" t="n"/>
      <c r="I63" s="712" t="n"/>
      <c r="J63" s="712" t="n"/>
      <c r="K63" s="1238" t="n"/>
      <c r="L63" s="338" t="b">
        <v>0</v>
      </c>
      <c r="M63" s="1267">
        <f>(SUM(M49:M61)/60)*M66</f>
        <v/>
      </c>
      <c r="N63" s="317" t="inlineStr">
        <is>
          <t>10 Mile</t>
        </is>
      </c>
      <c r="O63" s="318">
        <f>IF(AND($E$6&gt;0,$G$6&gt;0),IF($G$16=1,(1/(29.54+5.000663*($I$6*(X63))-0.007546*($I$6*(X63))^2)/1440)*W63,($G$6*(S63/$D$8)^1.06)),"-")</f>
        <v/>
      </c>
      <c r="P63" s="319">
        <f>IF(O63&lt;&gt;"-",O63/S63*IF($P$70,0.621371192,1),"-")</f>
        <v/>
      </c>
      <c r="Q63" s="320">
        <f>IF($O$84="yes",(O63*LOOKUP($E$5,$AB$125:$AB$220,IF($C$4,$AC$125:$AC$220,$AD$125:$AD$220))/LOOKUP($R$48,$AB$125:$AB$220,IF($Q$49,$AC$125:$AC$220,$AD$125:$AD$220)))*(IF(AND($C$4,NOT($Q$49)),LOOKUP($E$5,$AB$125:$AB$220,$AE$125:$AE$220),IF(AND(NOT($C$4),$Q$49),1/LOOKUP($R$48,$AB$125:$AB$220,$AE$125:$AE$220),1))),"-")</f>
        <v/>
      </c>
      <c r="R63" s="1254">
        <f>IF($O$84="yes",Q63/S63*IF($P$70,0.621371192,1),"-")</f>
        <v/>
      </c>
      <c r="S63" s="1251" t="n">
        <v>10</v>
      </c>
      <c r="T63" s="327" t="n">
        <v>0.03055555555555555</v>
      </c>
      <c r="U63" s="328" t="n">
        <v>0.03427083333333333</v>
      </c>
      <c r="V63" s="593" t="inlineStr">
        <is>
          <t>Open Class</t>
        </is>
      </c>
      <c r="W63" s="648">
        <f>S63*1609.344</f>
        <v/>
      </c>
      <c r="X63" s="674">
        <f>IF($G$6&gt;0,0.8+0.1894393 * EXP(-0.012778*O63*1440)+0.2989558* EXP(-0.1932605*O63*1440),0)</f>
        <v/>
      </c>
      <c r="Y63" s="675">
        <f>0.8+0.1894393 * EXP(-0.012778*T63*1440)+0.2989558* EXP(-0.1932605*T63*1440)</f>
        <v/>
      </c>
      <c r="Z63" s="674">
        <f>0.8+0.1894393 * EXP(-0.012778*U63*1440)+0.2989558* EXP(-0.1932605*U63*1440)</f>
        <v/>
      </c>
      <c r="AA63" s="678">
        <f>(-4.6 + 0.182258 * ($W63/T63/1440) + 0.000104 *($W63/T63/1440)^2)/Y63</f>
        <v/>
      </c>
      <c r="AB63" s="679">
        <f>(-4.6 + 0.182258 * ($W63/U63/1440) + 0.000104 *($W63/U63/1440)^2)/Z63</f>
        <v/>
      </c>
    </row>
    <row customHeight="1" ht="13.5" r="64" s="663" thickBot="1">
      <c r="B64" s="1256" t="inlineStr">
        <is>
          <t>Run Type</t>
        </is>
      </c>
      <c r="C64" s="712" t="n"/>
      <c r="D64" s="1238" t="n"/>
      <c r="E64" s="1268" t="inlineStr">
        <is>
          <t>Anaerobic Int</t>
        </is>
      </c>
      <c r="F64" s="1269" t="inlineStr">
        <is>
          <t>Aerobic Int</t>
        </is>
      </c>
      <c r="G64" s="1269" t="inlineStr">
        <is>
          <t>Cruise Int</t>
        </is>
      </c>
      <c r="H64" s="1269" t="inlineStr">
        <is>
          <t>Tempo Int</t>
        </is>
      </c>
      <c r="I64" s="1269" t="inlineStr">
        <is>
          <t>Tempo</t>
        </is>
      </c>
      <c r="J64" s="1269" t="inlineStr">
        <is>
          <t>Steady</t>
        </is>
      </c>
      <c r="K64" s="1269" t="inlineStr">
        <is>
          <t>Easy</t>
        </is>
      </c>
      <c r="L64" s="1270" t="inlineStr">
        <is>
          <t>Long</t>
        </is>
      </c>
      <c r="M64" s="1271">
        <f>IF(COUNT(M49:M61)&gt;0,M62/M65,0)</f>
        <v/>
      </c>
      <c r="N64" s="317" t="inlineStr">
        <is>
          <t>20k</t>
        </is>
      </c>
      <c r="O64" s="318">
        <f>IF(AND($E$6&gt;0,$G$6&gt;0),IF($G$16=1,(1/(29.54+5.000663*($I$6*(X64))-0.007546*($I$6*(X64))^2)/1440)*W64,($G$6*(S64/$D$8)^1.06)),"-")</f>
        <v/>
      </c>
      <c r="P64" s="319">
        <f>IF(O64&lt;&gt;"-",O64/S64*IF($P$70,0.621371192,1),"-")</f>
        <v/>
      </c>
      <c r="Q64" s="320">
        <f>IF($O$84="yes",(O64*LOOKUP($E$5,$AB$125:$AB$220,IF($C$4,$AC$125:$AC$220,$AD$125:$AD$220))/LOOKUP($R$48,$AB$125:$AB$220,IF($Q$49,$AC$125:$AC$220,$AD$125:$AD$220)))*(IF(AND($C$4,NOT($Q$49)),LOOKUP($E$5,$AB$125:$AB$220,$AE$125:$AE$220),IF(AND(NOT($C$4),$Q$49),1/LOOKUP($R$48,$AB$125:$AB$220,$AE$125:$AE$220),1))),"-")</f>
        <v/>
      </c>
      <c r="R64" s="1254">
        <f>IF($O$84="yes",Q64/S64*IF($P$70,0.621371192,1),"-")</f>
        <v/>
      </c>
      <c r="S64" s="1251">
        <f>20/1.609344</f>
        <v/>
      </c>
      <c r="T64" s="327" t="n">
        <v>0.03836805555555556</v>
      </c>
      <c r="U64" s="328" t="n">
        <v>0.04282407407407408</v>
      </c>
      <c r="V64" s="591" t="inlineStr">
        <is>
          <t>Standards</t>
        </is>
      </c>
      <c r="W64" s="648">
        <f>S64*1609.344</f>
        <v/>
      </c>
      <c r="X64" s="674">
        <f>IF($G$6&gt;0,0.8+0.1894393 * EXP(-0.012778*O64*1440)+0.2989558* EXP(-0.1932605*O64*1440),0)</f>
        <v/>
      </c>
      <c r="Y64" s="675">
        <f>0.8+0.1894393 * EXP(-0.012778*T64*1440)+0.2989558* EXP(-0.1932605*T64*1440)</f>
        <v/>
      </c>
      <c r="Z64" s="674">
        <f>0.8+0.1894393 * EXP(-0.012778*U64*1440)+0.2989558* EXP(-0.1932605*U64*1440)</f>
        <v/>
      </c>
      <c r="AA64" s="678">
        <f>(-4.6 + 0.182258 * ($W64/T64/1440) + 0.000104 *($W64/T64/1440)^2)/Y64</f>
        <v/>
      </c>
      <c r="AB64" s="679">
        <f>(-4.6 + 0.182258 * ($W64/U64/1440) + 0.000104 *($W64/U64/1440)^2)/Z64</f>
        <v/>
      </c>
    </row>
    <row customHeight="1" ht="13.5" r="65" s="663" thickBot="1">
      <c r="B65" s="1272" t="inlineStr">
        <is>
          <t>Race Pace</t>
        </is>
      </c>
      <c r="C65" s="1070" t="n"/>
      <c r="D65" s="1088" t="n"/>
      <c r="E65" s="1273">
        <f>IF($L$63,"1.6 k","Mile")</f>
        <v/>
      </c>
      <c r="F65" s="1273" t="inlineStr">
        <is>
          <t>3k - 8k</t>
        </is>
      </c>
      <c r="G65" s="1273" t="inlineStr">
        <is>
          <t>8k - 12k</t>
        </is>
      </c>
      <c r="H65" s="1273" t="inlineStr">
        <is>
          <t>10k - 15k</t>
        </is>
      </c>
      <c r="I65" s="1273" t="inlineStr">
        <is>
          <t>12k - 1/2m</t>
        </is>
      </c>
      <c r="J65" s="1273" t="inlineStr">
        <is>
          <t>1/2m - 30k</t>
        </is>
      </c>
      <c r="K65" s="1273" t="inlineStr">
        <is>
          <t>MP+30-60</t>
        </is>
      </c>
      <c r="L65" s="1274" t="inlineStr">
        <is>
          <t>MP+30-90</t>
        </is>
      </c>
      <c r="M65" s="1275">
        <f>COUNT(M49:M61)*M66</f>
        <v/>
      </c>
      <c r="N65" s="317" t="inlineStr">
        <is>
          <t>1/2 Mar</t>
        </is>
      </c>
      <c r="O65" s="318">
        <f>IF(AND($E$6&gt;0,$G$6&gt;0),IF($G$16=1,(1/(29.54+5.000663*($I$6*(X65))-0.007546*($I$6*(X65))^2)/1440)*W65,($G$6*(S65/$D$8)^1.06)),"-")</f>
        <v/>
      </c>
      <c r="P65" s="319">
        <f>IF(O65&lt;&gt;"-",O65/S65*IF($P$70,0.621371192,1),"-")</f>
        <v/>
      </c>
      <c r="Q65" s="320">
        <f>IF($O$84="yes",(O65*LOOKUP($E$5,$AB$125:$AB$220,IF($C$4,$AC$125:$AC$220,$AD$125:$AD$220))/LOOKUP($R$48,$AB$125:$AB$220,IF($Q$49,$AC$125:$AC$220,$AD$125:$AD$220)))*(IF(AND($C$4,NOT($Q$49)),LOOKUP($E$5,$AB$125:$AB$220,$AE$125:$AE$220),IF(AND(NOT($C$4),$Q$49),1/LOOKUP($R$48,$AB$125:$AB$220,$AE$125:$AE$220),1))),"-")</f>
        <v/>
      </c>
      <c r="R65" s="1254">
        <f>IF($O$84="yes",Q65/S65*IF($P$70,0.621371192,1),"-")</f>
        <v/>
      </c>
      <c r="S65" s="1251">
        <f>K8</f>
        <v/>
      </c>
      <c r="T65" s="327" t="n">
        <v>0.04054398148148148</v>
      </c>
      <c r="U65" s="328" t="n">
        <v>0.04527777777777778</v>
      </c>
      <c r="V65" s="591" t="n"/>
      <c r="W65" s="648">
        <f>S65*1609.344</f>
        <v/>
      </c>
      <c r="X65" s="674">
        <f>IF($G$6&gt;0,0.8+0.1894393 * EXP(-0.012778*O65*1440)+0.2989558* EXP(-0.1932605*O65*1440),0)</f>
        <v/>
      </c>
      <c r="Y65" s="675">
        <f>0.8+0.1894393 * EXP(-0.012778*T65*1440)+0.2989558* EXP(-0.1932605*T65*1440)</f>
        <v/>
      </c>
      <c r="Z65" s="674">
        <f>0.8+0.1894393 * EXP(-0.012778*U65*1440)+0.2989558* EXP(-0.1932605*U65*1440)</f>
        <v/>
      </c>
      <c r="AA65" s="678">
        <f>(-4.6 + 0.182258 * ($W65/T65/1440) + 0.000104 *($W65/T65/1440)^2)/Y65</f>
        <v/>
      </c>
      <c r="AB65" s="679">
        <f>(-4.6 + 0.182258 * ($W65/U65/1440) + 0.000104 *($W65/U65/1440)^2)/Z65</f>
        <v/>
      </c>
    </row>
    <row customHeight="1" ht="13.5" r="66" s="663" thickBot="1">
      <c r="B66" s="1276">
        <f>IF($L$63,"Pace / km","Pace / mile")</f>
        <v/>
      </c>
      <c r="C66" s="1096" t="n"/>
      <c r="D66" s="1229" t="n"/>
      <c r="E66" s="347">
        <f>IF($L$63,$R$15,$R$14)</f>
        <v/>
      </c>
      <c r="F66" s="348">
        <f>IF($L$63,TEXT($Q$15,"m:ss")&amp;" - "&amp;TEXT($O$15,"m:ss"),TEXT($Q$14,"m:ss")&amp;"-"&amp;TEXT($O$14,"m:ss"))</f>
        <v/>
      </c>
      <c r="G66" s="348">
        <f>IF($L$63,TEXT($O$15,"m:ss")&amp;" - "&amp;TEXT($M$15,"m:ss"),TEXT($O$14,"m:ss")&amp;"-"&amp;TEXT($M$14,"m:ss"))</f>
        <v/>
      </c>
      <c r="H66" s="348">
        <f>IF($L$63,TEXT($N$15,"m:ss")&amp;" - "&amp;TEXT($L$15,"m:ss"),TEXT($N$14,"m:ss")&amp;"-"&amp;TEXT($L$14,"m:ss"))</f>
        <v/>
      </c>
      <c r="I66" s="348">
        <f>IF($L$63,TEXT($M$15,"m:ss")&amp;" - "&amp;TEXT($K$15,"m:ss"),TEXT($M$14,"m:ss")&amp;"-"&amp;TEXT($K$14,"m:ss"))</f>
        <v/>
      </c>
      <c r="J66" s="348">
        <f>IF($L$63,TEXT($K$15,"m:ss")&amp;" - "&amp;TEXT(($J$15+$K$15)/2,"m:ss"),TEXT($K$14,"m:ss")&amp;"-"&amp;TEXT(($J$14+$K$14)/2,"m:ss"))</f>
        <v/>
      </c>
      <c r="K66" s="348">
        <f>TEXT(($J$14+"0:00:30")*IF($L$63,0.621371192,1),"m:ss")&amp;" - "&amp;TEXT(($J$14+"0:01:00")*IF($L$63,0.621371192,1),"m:ss")</f>
        <v/>
      </c>
      <c r="L66" s="349">
        <f>TEXT(($J$14+"0:00:30")*IF($L$63,0.621371192,1),"m:ss")&amp;" - "&amp;TEXT(($J$14+"0:01:30")*IF($L$63,0.621371192,1),"m:ss")</f>
        <v/>
      </c>
      <c r="M66" s="1277" t="n">
        <v>1</v>
      </c>
      <c r="N66" s="317" t="inlineStr">
        <is>
          <t>25k</t>
        </is>
      </c>
      <c r="O66" s="318">
        <f>IF(AND($E$6&gt;0,$G$6&gt;0),IF($G$16=1,(1/(29.54+5.000663*($I$6*(X66))-0.007546*($I$6*(X66))^2)/1440)*W66,($G$6*(S66/$D$8)^1.06)),"-")</f>
        <v/>
      </c>
      <c r="P66" s="319">
        <f>IF(O66&lt;&gt;"-",O66/S66*IF($P$70,0.621371192,1),"-")</f>
        <v/>
      </c>
      <c r="Q66" s="320">
        <f>IF($O$84="yes",(O66*LOOKUP($E$5,$AB$125:$AB$220,IF($C$4,$AC$125:$AC$220,$AD$125:$AD$220))/LOOKUP($R$48,$AB$125:$AB$220,IF($Q$49,$AC$125:$AC$220,$AD$125:$AD$220)))*(IF(AND($C$4,NOT($Q$49)),LOOKUP($E$5,$AB$125:$AB$220,$AE$125:$AE$220),IF(AND(NOT($C$4),$Q$49),1/LOOKUP($R$48,$AB$125:$AB$220,$AE$125:$AE$220),1))),"-")</f>
        <v/>
      </c>
      <c r="R66" s="1254">
        <f>IF($O$84="yes",Q66/S66*IF($P$70,0.621371192,1),"-")</f>
        <v/>
      </c>
      <c r="S66" s="1251">
        <f>25/1.609344</f>
        <v/>
      </c>
      <c r="T66" s="327" t="n">
        <v>0.04866898148148148</v>
      </c>
      <c r="U66" s="328" t="n">
        <v>0.05399305555555556</v>
      </c>
      <c r="V66" s="591" t="n"/>
      <c r="W66" s="648">
        <f>S66*1609.344</f>
        <v/>
      </c>
      <c r="X66" s="674">
        <f>IF($G$6&gt;0,0.8+0.1894393 * EXP(-0.012778*O66*1440)+0.2989558* EXP(-0.1932605*O66*1440),0)</f>
        <v/>
      </c>
      <c r="Y66" s="675">
        <f>0.8+0.1894393 * EXP(-0.012778*T66*1440)+0.2989558* EXP(-0.1932605*T66*1440)</f>
        <v/>
      </c>
      <c r="Z66" s="674">
        <f>0.8+0.1894393 * EXP(-0.012778*U66*1440)+0.2989558* EXP(-0.1932605*U66*1440)</f>
        <v/>
      </c>
      <c r="AA66" s="678">
        <f>(-4.6 + 0.182258 * ($W66/T66/1440) + 0.000104 *($W66/T66/1440)^2)/Y66</f>
        <v/>
      </c>
      <c r="AB66" s="679">
        <f>(-4.6 + 0.182258 * ($W66/U66/1440) + 0.000104 *($W66/U66/1440)^2)/Z66</f>
        <v/>
      </c>
    </row>
    <row customHeight="1" ht="13.5" r="67" s="663" thickBot="1" thickTop="1">
      <c r="B67" s="832" t="n"/>
      <c r="C67" s="712" t="n"/>
      <c r="D67" s="712" t="n"/>
      <c r="E67" s="712" t="n"/>
      <c r="F67" s="712" t="n"/>
      <c r="G67" s="351">
        <f>IF($H$67,"Heart Rate","% HRmax")</f>
        <v/>
      </c>
      <c r="H67" s="352" t="b">
        <v>1</v>
      </c>
      <c r="I67" s="353">
        <f>IF($H$67,TEXT(0.9*$E$3,0)&amp;" - "&amp;TEXT(0.85*$E$3,0),"90 - 85%")</f>
        <v/>
      </c>
      <c r="J67" s="353">
        <f>IF($H$67,TEXT(0.87*$E$3,0)&amp;" - "&amp;TEXT(0.83*$E$3,0),"87 - 83%")</f>
        <v/>
      </c>
      <c r="K67" s="354">
        <f>IF($H$67,TEXT(0.75*$E$3,0),"75%")</f>
        <v/>
      </c>
      <c r="L67" s="355">
        <f>IF($H$67,TEXT(0.7*$E$3,0),"70%")</f>
        <v/>
      </c>
      <c r="M67" s="356" t="inlineStr">
        <is>
          <t>Subtract</t>
        </is>
      </c>
      <c r="N67" s="317" t="inlineStr">
        <is>
          <t>30k</t>
        </is>
      </c>
      <c r="O67" s="318">
        <f>IF(AND($E$6&gt;0,$G$6&gt;0),IF($G$16=1,(1/(29.54+5.000663*($I$6*(X67))-0.007546*($I$6*(X67))^2)/1440)*W67,($G$6*(S67/$D$8)^1.06)),"-")</f>
        <v/>
      </c>
      <c r="P67" s="319">
        <f>IF(O67&lt;&gt;"-",O67/S67*IF($P$70,0.621371192,1),"-")</f>
        <v/>
      </c>
      <c r="Q67" s="320">
        <f>IF($O$84="yes",(O67*LOOKUP($E$5,$AB$125:$AB$220,IF($C$4,$AC$125:$AC$220,$AD$125:$AD$220))/LOOKUP($R$48,$AB$125:$AB$220,IF($Q$49,$AC$125:$AC$220,$AD$125:$AD$220)))*(IF(AND($C$4,NOT($Q$49)),LOOKUP($E$5,$AB$125:$AB$220,$AE$125:$AE$220),IF(AND(NOT($C$4),$Q$49),1/LOOKUP($R$48,$AB$125:$AB$220,$AE$125:$AE$220),1))),"-")</f>
        <v/>
      </c>
      <c r="R67" s="1254">
        <f>IF($O$84="yes",Q67/S67*IF($P$70,0.621371192,1),"-")</f>
        <v/>
      </c>
      <c r="S67" s="1251">
        <f>30/1.609344</f>
        <v/>
      </c>
      <c r="T67" s="327" t="n">
        <v>0.05914351851851852</v>
      </c>
      <c r="U67" s="328" t="n">
        <v>0.06550925925925925</v>
      </c>
      <c r="V67" s="594" t="n"/>
      <c r="W67" s="648">
        <f>S67*1609.344</f>
        <v/>
      </c>
      <c r="X67" s="674">
        <f>IF($G$6&gt;0,0.8+0.1894393 * EXP(-0.012778*O67*1440)+0.2989558* EXP(-0.1932605*O67*1440),0)</f>
        <v/>
      </c>
      <c r="Y67" s="675">
        <f>0.8+0.1894393 * EXP(-0.012778*T67*1440)+0.2989558* EXP(-0.1932605*T67*1440)</f>
        <v/>
      </c>
      <c r="Z67" s="674">
        <f>0.8+0.1894393 * EXP(-0.012778*U67*1440)+0.2989558* EXP(-0.1932605*U67*1440)</f>
        <v/>
      </c>
      <c r="AA67" s="678">
        <f>(-4.6 + 0.182258 * ($W67/T67/1440) + 0.000104 *($W67/T67/1440)^2)/Y67</f>
        <v/>
      </c>
      <c r="AB67" s="679">
        <f>(-4.6 + 0.182258 * ($W67/U67/1440) + 0.000104 *($W67/U67/1440)^2)/Z67</f>
        <v/>
      </c>
    </row>
    <row customHeight="1" ht="13.5" r="68" s="663" thickBot="1">
      <c r="B68" s="1278" t="inlineStr">
        <is>
          <t>*Note: The Greg McMillan and Joe Friel tables are approximate representations, not exact duplications.</t>
        </is>
      </c>
      <c r="C68" s="712" t="n"/>
      <c r="D68" s="712" t="n"/>
      <c r="E68" s="712" t="n"/>
      <c r="F68" s="712" t="n"/>
      <c r="G68" s="712" t="n"/>
      <c r="H68" s="712" t="n"/>
      <c r="I68" s="712" t="n"/>
      <c r="J68" s="712" t="n"/>
      <c r="K68" s="712" t="n"/>
      <c r="L68" s="1253" t="n"/>
      <c r="M68" s="357" t="inlineStr">
        <is>
          <t>(mm:ss)</t>
        </is>
      </c>
      <c r="N68" s="317" t="inlineStr">
        <is>
          <t>Marathon</t>
        </is>
      </c>
      <c r="O68" s="318">
        <f>IF(AND($E$6&gt;0,$G$6&gt;0),IF($G$16=1,(1/(29.54+5.000663*($I$6*(X68))-0.007546*($I$6*(X68))^2)/1440)*W68,($G$6*(S68/$D$8)^1.06)),"-")</f>
        <v/>
      </c>
      <c r="P68" s="319">
        <f>IF(O68&lt;&gt;"-",O68/S68*IF($P$70,0.621371192,1),"-")</f>
        <v/>
      </c>
      <c r="Q68" s="320">
        <f>IF($O$84="yes",(O68*LOOKUP($E$5,$AB$125:$AB$220,IF($C$4,$AC$125:$AC$220,$AD$125:$AD$220))/LOOKUP($R$48,$AB$125:$AB$220,IF($Q$49,$AC$125:$AC$220,$AD$125:$AD$220)))*(IF(AND($C$4,NOT($Q$49)),LOOKUP($E$5,$AB$125:$AB$220,$AE$125:$AE$220),IF(AND(NOT($C$4),$Q$49),1/LOOKUP($R$48,$AB$125:$AB$220,$AE$125:$AE$220),1))),"-")</f>
        <v/>
      </c>
      <c r="R68" s="1254">
        <f>IF($O$84="yes",Q68/S68*IF($P$70,0.621371192,1),"-")</f>
        <v/>
      </c>
      <c r="S68" s="1251">
        <f>J8</f>
        <v/>
      </c>
      <c r="T68" s="327" t="n">
        <v>0.08538194444444444</v>
      </c>
      <c r="U68" s="328" t="n">
        <v>0.09403935185185185</v>
      </c>
      <c r="V68" s="591" t="n"/>
      <c r="W68" s="648">
        <f>S68*1609.344</f>
        <v/>
      </c>
      <c r="X68" s="674">
        <f>IF($G$6&gt;0,0.8+0.1894393 * EXP(-0.012778*O68*1440)+0.2989558* EXP(-0.1932605*O68*1440),0)</f>
        <v/>
      </c>
      <c r="Y68" s="675">
        <f>0.8+0.1894393 * EXP(-0.012778*T68*1440)+0.2989558* EXP(-0.1932605*T68*1440)</f>
        <v/>
      </c>
      <c r="Z68" s="674">
        <f>0.8+0.1894393 * EXP(-0.012778*U68*1440)+0.2989558* EXP(-0.1932605*U68*1440)</f>
        <v/>
      </c>
      <c r="AA68" s="678">
        <f>(-4.6 + 0.182258 * ($W68/T68/1440) + 0.000104 *($W68/T68/1440)^2)/Y68</f>
        <v/>
      </c>
      <c r="AB68" s="679">
        <f>(-4.6 + 0.182258 * ($W68/U68/1440) + 0.000104 *($W68/U68/1440)^2)/Z68</f>
        <v/>
      </c>
    </row>
    <row customHeight="1" ht="13.5" r="69" s="663" thickBot="1">
      <c r="B69" s="857" t="inlineStr">
        <is>
          <t>Joe Friel</t>
        </is>
      </c>
      <c r="C69" s="712" t="n"/>
      <c r="D69" s="712" t="n"/>
      <c r="E69" s="712" t="n"/>
      <c r="F69" s="821" t="inlineStr">
        <is>
          <t xml:space="preserve"> Training Zone Approximations</t>
        </is>
      </c>
      <c r="G69" s="712" t="n"/>
      <c r="H69" s="712" t="n"/>
      <c r="I69" s="712" t="n"/>
      <c r="J69" s="712" t="n"/>
      <c r="K69" s="712" t="n"/>
      <c r="L69" s="358" t="b">
        <v>0</v>
      </c>
      <c r="M69" s="359" t="n">
        <v>0.1332060185185185</v>
      </c>
      <c r="N69" s="317" t="inlineStr">
        <is>
          <t>50k</t>
        </is>
      </c>
      <c r="O69" s="360">
        <f>IF(AND($E$6&gt;0,$G$6&gt;0),IF($G$16=1,(1/(29.54+5.000663*($I$6*(X69))-0.007546*($I$6*(X69))^2)/1440)*W69,($G$6*(S69/$D$8)^1.06)),"-")</f>
        <v/>
      </c>
      <c r="P69" s="361">
        <f>IF(O69&lt;&gt;"-",O69/S69*IF($P$70,0.621371192,1),"-")</f>
        <v/>
      </c>
      <c r="Q69" s="362">
        <f>IF($O$84="yes",(O69*LOOKUP($E$5,$AB$125:$AB$220,IF($C$4,$AC$125:$AC$220,$AD$125:$AD$220))/LOOKUP($R$48,$AB$125:$AB$220,IF($Q$49,$AC$125:$AC$220,$AD$125:$AD$220)))*(IF(AND($C$4,NOT($Q$49)),LOOKUP($E$5,$AB$125:$AB$220,$AE$125:$AE$220),IF(AND(NOT($C$4),$Q$49),1/LOOKUP($R$48,$AB$125:$AB$220,$AE$125:$AE$220),1))),"-")</f>
        <v/>
      </c>
      <c r="R69" s="1279">
        <f>IF($O$84="yes",Q69/S69*IF($P$70,0.621371192,1),"-")</f>
        <v/>
      </c>
      <c r="S69" s="1251">
        <f>50/1.609344</f>
        <v/>
      </c>
      <c r="T69" s="364" t="n">
        <v>0.1038194444444445</v>
      </c>
      <c r="U69" s="365" t="n">
        <v>0.1136574074074074</v>
      </c>
      <c r="V69" s="595" t="n"/>
      <c r="W69" s="649">
        <f>S69*1609.344</f>
        <v/>
      </c>
      <c r="X69" s="680">
        <f>IF($G$6&gt;0,0.8+0.1894393 * EXP(-0.012778*O69*1440)+0.2989558* EXP(-0.1932605*O69*1440),0)</f>
        <v/>
      </c>
      <c r="Y69" s="681">
        <f>0.8+0.1894393 * EXP(-0.012778*T69*1440)+0.2989558* EXP(-0.1932605*T69*1440)</f>
        <v/>
      </c>
      <c r="Z69" s="680">
        <f>0.8+0.1894393 * EXP(-0.012778*U69*1440)+0.2989558* EXP(-0.1932605*U69*1440)</f>
        <v/>
      </c>
      <c r="AA69" s="682">
        <f>(-4.6 + 0.182258 * ($W69/T69/1440) + 0.000104 *($W69/T69/1440)^2)/Y69</f>
        <v/>
      </c>
      <c r="AB69" s="683">
        <f>(-4.6 + 0.182258 * ($W69/U69/1440) + 0.000104 *($W69/U69/1440)^2)/Z69</f>
        <v/>
      </c>
    </row>
    <row customHeight="1" ht="13.5" r="70" s="663" thickBot="1">
      <c r="B70" s="1256" t="inlineStr">
        <is>
          <t>Zones (Based on Lactate Threshold - LT)</t>
        </is>
      </c>
      <c r="C70" s="712" t="n"/>
      <c r="D70" s="712" t="n"/>
      <c r="E70" s="1238" t="n"/>
      <c r="F70" s="366" t="inlineStr">
        <is>
          <t>Zone 1</t>
        </is>
      </c>
      <c r="G70" s="366" t="inlineStr">
        <is>
          <t>Zone 2</t>
        </is>
      </c>
      <c r="H70" s="366" t="inlineStr">
        <is>
          <t>Zone 3</t>
        </is>
      </c>
      <c r="I70" s="366" t="inlineStr">
        <is>
          <t>Zone 4</t>
        </is>
      </c>
      <c r="J70" s="366" t="inlineStr">
        <is>
          <t>Zone 5a</t>
        </is>
      </c>
      <c r="K70" s="366" t="inlineStr">
        <is>
          <t>Zone 5b</t>
        </is>
      </c>
      <c r="L70" s="367" t="inlineStr">
        <is>
          <t>Zone 5c</t>
        </is>
      </c>
      <c r="M70" s="1280" t="n">
        <v>0.1329513888888889</v>
      </c>
      <c r="N70" s="1281" t="inlineStr">
        <is>
          <t>Racing Statistics</t>
        </is>
      </c>
      <c r="O70" s="1282" t="n"/>
      <c r="P70" s="369" t="b">
        <v>0</v>
      </c>
      <c r="Q70" s="1283" t="inlineStr">
        <is>
          <t>Fastest Ages</t>
        </is>
      </c>
      <c r="R70" s="336" t="n"/>
    </row>
    <row customHeight="1" ht="13.5" r="71" s="663" thickBot="1">
      <c r="B71" s="1272" t="inlineStr">
        <is>
          <t>Zones by Heart Rate</t>
        </is>
      </c>
      <c r="C71" s="1070" t="n"/>
      <c r="D71" s="1070" t="n"/>
      <c r="E71" s="1088" t="n"/>
      <c r="F71" s="370">
        <f>IF($E$3,"&lt; "&amp;TEXT(IF($D$73,$F$73,$C$73)*0.85,0),"-")</f>
        <v/>
      </c>
      <c r="G71" s="370">
        <f>IF($E$3,TEXT(IF($D$73,$F$73,$C$73)*0.85,0)&amp;" - "&amp;TEXT(IF($D$73,$F$73,$C$73)*0.89,0),"-")</f>
        <v/>
      </c>
      <c r="H71" s="370">
        <f>IF($E$3,TEXT(IF($D$73,$F$73,$C$73)*0.9,0)&amp;" - "&amp;TEXT(IF($D$73,$F$73,$C$73)*0.94,0),"-")</f>
        <v/>
      </c>
      <c r="I71" s="370">
        <f>IF($E$3,TEXT(IF($D$73,$F$73,$C$73)*0.95,0)&amp;" - "&amp;TEXT(IF($D$73,$F$73,$C$73)*0.99,0),"-")</f>
        <v/>
      </c>
      <c r="J71" s="370">
        <f>IF($E$3,TEXT(IF($D$73,$F$73,$C$73)*1,0)&amp;" - "&amp;TEXT(IF($D$73,$F$73,$C$73)*1.02,0),"-")</f>
        <v/>
      </c>
      <c r="K71" s="370">
        <f>IF($E$3,TEXT(IF($D$73,$F$73,$C$73)*1.03,0)&amp;" - "&amp;TEXT(IF($D$73,$F$73,$C$73)*1.06,0),"-")</f>
        <v/>
      </c>
      <c r="L71" s="371">
        <f>IF($E$3,"&gt; "&amp;TEXT(IF($D$73,$F$73,$C$73)*1.06,0),"-")</f>
        <v/>
      </c>
      <c r="M71" s="1284">
        <f>M69-M70</f>
        <v/>
      </c>
      <c r="N71" s="586" t="inlineStr">
        <is>
          <t>IAAF</t>
        </is>
      </c>
      <c r="O71" s="373" t="inlineStr">
        <is>
          <t>Age Grade</t>
        </is>
      </c>
      <c r="P71" s="587" t="inlineStr">
        <is>
          <t>ARRS</t>
        </is>
      </c>
      <c r="Q71" s="1285" t="inlineStr">
        <is>
          <t>M: 19-27 /  F: 22-29</t>
        </is>
      </c>
      <c r="R71" s="531" t="n"/>
    </row>
    <row customHeight="1" ht="13.5" r="72" s="663" thickBot="1" thickTop="1">
      <c r="B72" s="1276">
        <f>IF($L$69,"Zone Pace / km","Zone Pace / mile")</f>
        <v/>
      </c>
      <c r="C72" s="1096" t="n"/>
      <c r="D72" s="1096" t="n"/>
      <c r="E72" s="1229" t="n"/>
      <c r="F72" s="347">
        <f>"&lt; "&amp;TEXT(IF($J$73,$L$73/60,$I$73)*1.29*IF(L69,0.621371192,1),"m:ss")</f>
        <v/>
      </c>
      <c r="G72" s="347">
        <f>TEXT(IF($J$73,$L$73/60,$I$73)*1.29*IF(L69,0.621371192,1),"m:ss")&amp;" - "&amp;TEXT(IF($J$73,$L$73/60,$I$73)*1.14*IF(L69,0.621371192,1),"m:ss")</f>
        <v/>
      </c>
      <c r="H72" s="347">
        <f>TEXT(IF($J$73,$L$73/60,$I$73)*1.13*IF(L69,0.621371192,1),"m:ss")&amp;" - "&amp;TEXT(IF($J$73,$L$73/60,$I$73)*1.06*IF(L69,0.621371192,1),"m:ss")</f>
        <v/>
      </c>
      <c r="I72" s="347">
        <f>TEXT(IF($J$73,$L$73/60,$I$73)*1.05*IF(L69,0.621371192,1),"m:ss")&amp;" - "&amp;TEXT(IF($J$73,$L$73/60,$I$73)*0.99*IF(L69,0.621371192,1),"m:ss")</f>
        <v/>
      </c>
      <c r="J72" s="347">
        <f>TEXT(IF($J$73,$L$73/60,$I$73)*1*IF(L69,0.621371192,1),"m:ss")&amp;" - "&amp;TEXT(IF($J$73,$L$73/60,$I$73)*0.97*IF(L69,0.621371192,1),"m:ss")</f>
        <v/>
      </c>
      <c r="K72" s="347">
        <f>TEXT(IF($J$73,$L$73/60,$I$73)*0.96*IF(L69,0.621371192,1),"m:ss")&amp;" - "&amp;TEXT(IF($J$73,$L$73/60,$I$73)*0.9*IF(L69,0.621371192,1),"m:ss")</f>
        <v/>
      </c>
      <c r="L72" s="374">
        <f>"&gt; "&amp;TEXT(IF($J$73,$L$73/60,$I$73)*0.9*IF(L69,0.621371192,1),"m:ss")</f>
        <v/>
      </c>
      <c r="N72" s="375" t="n"/>
      <c r="R72" s="376">
        <f>IF(ISNA(MATCH(D8,S50:S69,0)),"No","Yes")</f>
        <v/>
      </c>
    </row>
    <row customHeight="1" ht="13.5" r="73" s="663" thickBot="1" thickTop="1">
      <c r="B73" s="377" t="inlineStr">
        <is>
          <t>Calc LTHR</t>
        </is>
      </c>
      <c r="C73" s="378">
        <f>IF($E$3&lt;&gt;"",$E$3*0.9,"")</f>
        <v/>
      </c>
      <c r="D73" s="1286" t="b">
        <v>0</v>
      </c>
      <c r="E73" s="1238" t="n"/>
      <c r="F73" s="379" t="n">
        <v>157</v>
      </c>
      <c r="G73" s="380" t="n"/>
      <c r="H73" s="381" t="inlineStr">
        <is>
          <t>Calc FTPa</t>
        </is>
      </c>
      <c r="I73" s="382">
        <f>+L6</f>
        <v/>
      </c>
      <c r="J73" s="1286" t="b">
        <v>0</v>
      </c>
      <c r="K73" s="1238" t="n"/>
      <c r="L73" s="383" t="n">
        <v>0.3020833333333333</v>
      </c>
      <c r="M73" s="1287" t="inlineStr">
        <is>
          <t>Entry Time Grading</t>
        </is>
      </c>
      <c r="N73" s="11" t="n"/>
      <c r="O73" s="1219" t="n"/>
      <c r="P73" s="1287">
        <f>IF(C4,"Male","Female")&amp;" Peak Potential - "&amp;$E$6</f>
        <v/>
      </c>
      <c r="Q73" s="11" t="n"/>
      <c r="R73" s="1219" t="n"/>
    </row>
    <row customHeight="1" ht="13.5" r="74" s="663" thickBot="1">
      <c r="B74" s="322" t="n"/>
      <c r="M74" s="878">
        <f>IF($C$4," Male ","Female ")&amp;IF(ISNUMBER($E$5),$E$5,"")</f>
        <v/>
      </c>
      <c r="N74" s="659" t="n"/>
      <c r="O74" s="1288">
        <f>$G$6</f>
        <v/>
      </c>
      <c r="P74" s="1289" t="n"/>
      <c r="Q74" s="385" t="inlineStr">
        <is>
          <t>Open Std:</t>
        </is>
      </c>
      <c r="R74" s="386">
        <f>IF(R72="No","No Std",LOOKUP($D$8,$S$50:$S$69,IF($C$4,$T$50:$T$69,$U$50:$U$69)))</f>
        <v/>
      </c>
    </row>
    <row customHeight="1" ht="13.5" r="75" s="663" thickBot="1">
      <c r="B75" s="1255">
        <f>"Projected Adverse Impact of High Temperatures on "&amp;$E$6&amp;" Time (Daniels)"</f>
        <v/>
      </c>
      <c r="C75" s="712" t="n"/>
      <c r="D75" s="712" t="n"/>
      <c r="E75" s="712" t="n"/>
      <c r="F75" s="712" t="n"/>
      <c r="G75" s="712" t="n"/>
      <c r="H75" s="712" t="n"/>
      <c r="I75" s="712" t="n"/>
      <c r="J75" s="712" t="n"/>
      <c r="K75" s="1238" t="n"/>
      <c r="L75" s="325" t="b">
        <v>0</v>
      </c>
      <c r="M75" s="883">
        <f>IF(O74=$G$6, "Current Entry Time","Manual Time")</f>
        <v/>
      </c>
      <c r="O75" s="1290" t="n"/>
      <c r="P75" s="1291" t="n"/>
      <c r="Q75" s="388">
        <f>IF($O$84="yes","Age "&amp;DATEDIF($E$2,NOW(),"y")&amp;" Std:","")</f>
        <v/>
      </c>
      <c r="R75" s="389">
        <f>IF(R72="No","No Std",IF($O$84="yes",$R$74/LOOKUP(DATEDIF($E$2,NOW(),"y"),$AB$125:$AB$220,IF($C$4,$AC$125:$AC$220,$AD$125:$AD$220)),"Birthdate?"))</f>
        <v/>
      </c>
    </row>
    <row customHeight="1" ht="13.5" r="76" s="663" thickBot="1">
      <c r="B76" s="1292" t="inlineStr">
        <is>
          <t>Temperature</t>
        </is>
      </c>
      <c r="C76" s="1238" t="n"/>
      <c r="D76" s="390">
        <f>IF($L$75,"16° c","60° f")</f>
        <v/>
      </c>
      <c r="E76" s="391">
        <f>IF($L$75,"18° c","65° f")</f>
        <v/>
      </c>
      <c r="F76" s="391">
        <f>IF($L$75,"21° c","70° f")</f>
        <v/>
      </c>
      <c r="G76" s="391">
        <f>IF($L$75,"24° c","75° f")</f>
        <v/>
      </c>
      <c r="H76" s="391">
        <f>IF($L$75,"27° c","80° f")</f>
        <v/>
      </c>
      <c r="I76" s="391">
        <f>IF($L$75,"29° c","85° f")</f>
        <v/>
      </c>
      <c r="J76" s="391">
        <f>IF($L$75,"32° c","90° f")</f>
        <v/>
      </c>
      <c r="K76" s="391">
        <f>IF($L$75,"35° c","95° f")</f>
        <v/>
      </c>
      <c r="L76" s="392">
        <f>IF($L$75,"38° c","100° f")</f>
        <v/>
      </c>
      <c r="M76" s="883" t="n"/>
      <c r="O76" s="1293" t="n"/>
      <c r="P76" s="863" t="inlineStr">
        <is>
          <t>Hypothetical best time</t>
        </is>
      </c>
      <c r="Q76" s="1294" t="n"/>
      <c r="R76" s="1295">
        <f>IF($O$84="Yes",$E$5,"Birthdate?")</f>
        <v/>
      </c>
    </row>
    <row customHeight="1" ht="13.5" r="77" s="663">
      <c r="B77" s="865" t="inlineStr">
        <is>
          <t>Adjusted Time</t>
        </is>
      </c>
      <c r="C77" s="1088" t="n"/>
      <c r="D77" s="394">
        <f>IF(AND($E$6&gt;0,$G$6&gt;0),G6,"-")</f>
        <v/>
      </c>
      <c r="E77" s="395">
        <f>IF($D$77&lt;&gt;"-",$D$77*1.0075,"-")</f>
        <v/>
      </c>
      <c r="F77" s="395">
        <f>IF($D$77&lt;&gt;"-",$D$77*1.015,"-")</f>
        <v/>
      </c>
      <c r="G77" s="395">
        <f>IF($D$77&lt;&gt;"-",$D$77*1.0225,"-")</f>
        <v/>
      </c>
      <c r="H77" s="395">
        <f>IF($D$77&lt;&gt;"-",$D$77*1.03,"-")</f>
        <v/>
      </c>
      <c r="I77" s="395">
        <f>IF($D$77&lt;&gt;"-",$D$77*1.0375,"-")</f>
        <v/>
      </c>
      <c r="J77" s="395">
        <f>IF($D$77&lt;&gt;"-",$D$77*1.045,"-")</f>
        <v/>
      </c>
      <c r="K77" s="395">
        <f>IF($D$77&lt;&gt;"-",$D$77*1.0525,"-")</f>
        <v/>
      </c>
      <c r="L77" s="396">
        <f>IF($D$77&lt;&gt;"-",$D$77*1.06,"-")</f>
        <v/>
      </c>
      <c r="M77" s="1296" t="inlineStr">
        <is>
          <t>Grading Calcs are Based on</t>
        </is>
      </c>
      <c r="N77" s="1072" t="n"/>
      <c r="O77" s="1297" t="n"/>
      <c r="P77" s="863" t="inlineStr">
        <is>
          <t>humanly possible at</t>
        </is>
      </c>
      <c r="Q77" s="1294" t="n"/>
      <c r="R77" s="1298">
        <f>IF(AND($C$2&gt;0,$C$3&gt;0),IF($B$4,$C$3 / ($C$2/100)^2,$C$3 / $C$2^2*703),"Wght / Hght?")</f>
        <v/>
      </c>
    </row>
    <row customHeight="1" ht="13.5" r="78" s="663" thickBot="1">
      <c r="B78" s="871">
        <f>IF($L$75,"Adj Pace / km","Adj Pace / mile")</f>
        <v/>
      </c>
      <c r="C78" s="1229" t="n"/>
      <c r="D78" s="397">
        <f>IF($D$77&lt;&gt;"-",D77/IF($L$75,$F$8/1000,$D$8),"-")</f>
        <v/>
      </c>
      <c r="E78" s="398">
        <f>IF($D$77&lt;&gt;"-",E77/IF($L$75,$F$8/1000,$D$8),"-")</f>
        <v/>
      </c>
      <c r="F78" s="398">
        <f>IF($D$77&lt;&gt;"-",F77/IF($L$75,$F$8/1000,$D$8),"-")</f>
        <v/>
      </c>
      <c r="G78" s="398">
        <f>IF($D$77&lt;&gt;"-",G77/IF($L$75,$F$8/1000,$D$8),"-")</f>
        <v/>
      </c>
      <c r="H78" s="398">
        <f>IF($D$77&lt;&gt;"-",H77/IF($L$75,$F$8/1000,$D$8),"-")</f>
        <v/>
      </c>
      <c r="I78" s="398">
        <f>IF($D$77&lt;&gt;"-",I77/IF($L$75,$F$8/1000,$D$8),"-")</f>
        <v/>
      </c>
      <c r="J78" s="398">
        <f>IF($D$77&lt;&gt;"-",J77/IF($L$75,$F$8/1000,$D$8),"-")</f>
        <v/>
      </c>
      <c r="K78" s="398">
        <f>IF($D$77&lt;&gt;"-",K77/IF($L$75,$F$8/1000,$D$8),"-")</f>
        <v/>
      </c>
      <c r="L78" s="399">
        <f>IF($D$77&lt;&gt;"-",L77/IF($L$75,$F$8/1000,$D$8),"-")</f>
        <v/>
      </c>
      <c r="M78" s="1299" t="inlineStr">
        <is>
          <t>Time &amp; VDOT. Distance is Irrelevant.</t>
        </is>
      </c>
      <c r="N78" s="507" t="n"/>
      <c r="O78" s="531" t="n"/>
      <c r="P78" s="876">
        <f>"current age, wght "&amp;ROUND($C$3,1)</f>
        <v/>
      </c>
      <c r="Q78" s="1300" t="n"/>
      <c r="R78" s="400">
        <f>IF(R72="no","-",IF(AND($C$2&gt;0,$C$3&gt;0,$O$84="yes"),MROUND(MAX($R$75*(C3/MIN(D92,F94))^$I$87,$R$75),"00:00:01"),"""?"))</f>
        <v/>
      </c>
    </row>
    <row customHeight="1" ht="13.5" r="79" s="663" thickBot="1">
      <c r="B79" s="1301">
        <f>"Performance is not adversely affected by heat below "&amp;IF(L75,"16°C","60°F")</f>
        <v/>
      </c>
      <c r="C79" s="712" t="n"/>
      <c r="D79" s="712" t="n"/>
      <c r="E79" s="712" t="n"/>
      <c r="F79" s="712" t="n"/>
      <c r="G79" s="712" t="n"/>
      <c r="H79" s="712" t="n"/>
      <c r="I79" s="712" t="n"/>
      <c r="J79" s="712" t="n"/>
      <c r="K79" s="712" t="n"/>
      <c r="L79" s="1253" t="n"/>
      <c r="M79" s="401" t="n"/>
      <c r="N79" s="402" t="n"/>
      <c r="O79" s="403" t="n"/>
      <c r="P79" s="867" t="inlineStr">
        <is>
          <t>Best time possible at</t>
        </is>
      </c>
      <c r="Q79" s="1072" t="n"/>
      <c r="R79" s="1302">
        <f>IF(AND($C$2&gt;0,$P$80&gt;0),IF($B$4,$P$80 / ($C$2/100)^2,$P$80 / $C$2^2*703),"")</f>
        <v/>
      </c>
    </row>
    <row customHeight="1" ht="13.5" r="80" s="663" thickBot="1">
      <c r="B80" s="470" t="n"/>
      <c r="L80" s="336" t="n"/>
      <c r="M80" s="401" t="n"/>
      <c r="N80" s="402" t="n"/>
      <c r="O80" s="403" t="n"/>
      <c r="P80" s="1303">
        <f>IF($C$4,I95,I96)</f>
        <v/>
      </c>
      <c r="Q80" s="404">
        <f>IF($B$4," kg"," lbs")</f>
        <v/>
      </c>
      <c r="R80" s="405">
        <f>IF(R72="no","-",IF(AND($C$3&gt;0,$P$80&gt;0,$O$84="yes"),$R$78*(IF(P80&gt;=MIN(D92,F94,C3),P80,MIN(F94,D92,C3))/C3)^$I$87,"?"))</f>
        <v/>
      </c>
    </row>
    <row customHeight="1" ht="13.5" r="81" s="663" thickBot="1" thickTop="1">
      <c r="B81" s="1304">
        <f>"Projected Impact of Weight on "&amp;$E$6&amp;" Time (Daniels)"</f>
        <v/>
      </c>
      <c r="C81" s="712" t="n"/>
      <c r="D81" s="712" t="n"/>
      <c r="E81" s="712" t="n"/>
      <c r="F81" s="712" t="n"/>
      <c r="G81" s="712" t="n"/>
      <c r="H81" s="712" t="n"/>
      <c r="I81" s="712" t="n"/>
      <c r="J81" s="712" t="n"/>
      <c r="K81" s="712" t="n"/>
      <c r="L81" s="1253" t="n"/>
      <c r="M81" s="1305" t="inlineStr">
        <is>
          <t>Age Grading</t>
        </is>
      </c>
      <c r="N81" s="11" t="n"/>
      <c r="O81" s="1219" t="n"/>
      <c r="P81" s="1067" t="n"/>
      <c r="R81" s="406" t="n"/>
      <c r="T81" s="1155" t="n"/>
    </row>
    <row customHeight="1" ht="13.5" r="82" s="663" thickBot="1" thickTop="1">
      <c r="B82" s="908">
        <f>IF($C$4,"Male","Female")</f>
        <v/>
      </c>
      <c r="C82" s="1238" t="n"/>
      <c r="D82" s="700" t="inlineStr">
        <is>
          <t>age:</t>
        </is>
      </c>
      <c r="E82" s="407">
        <f>$E$5</f>
        <v/>
      </c>
      <c r="F82" s="700">
        <f>IF($B$4,"Height (cm):","Height (in):")</f>
        <v/>
      </c>
      <c r="G82" s="712" t="n"/>
      <c r="H82" s="1306">
        <f>$C$2</f>
        <v/>
      </c>
      <c r="I82" s="912">
        <f>"Weight"&amp;IF($B$4," (kg):"," (lb):")</f>
        <v/>
      </c>
      <c r="J82" s="712" t="n"/>
      <c r="K82" s="1306">
        <f>$C$3</f>
        <v/>
      </c>
      <c r="L82" s="409" t="b">
        <v>0</v>
      </c>
      <c r="M82" s="783" t="inlineStr">
        <is>
          <t>Time Difference</t>
        </is>
      </c>
      <c r="N82" s="1088" t="n"/>
      <c r="O82" s="410">
        <f>IF($O$84="yes",$O$74-$O$83,0)</f>
        <v/>
      </c>
      <c r="P82" s="1287" t="inlineStr">
        <is>
          <t>Free Form VDOT Calculator</t>
        </is>
      </c>
      <c r="Q82" s="11" t="n"/>
      <c r="R82" s="1219" t="n"/>
      <c r="T82" s="728" t="n"/>
    </row>
    <row customHeight="1" ht="13.5" r="83" s="663" thickBot="1" thickTop="1">
      <c r="B83" s="887">
        <f>"Projected Weight "&amp;IF(B4,"(kg)","(lb)")</f>
        <v/>
      </c>
      <c r="C83" s="1238" t="n"/>
      <c r="D83" s="1307">
        <f>$C$3+($C$3*$L$87*2)</f>
        <v/>
      </c>
      <c r="E83" s="1308">
        <f>$C$3+($C$3*$L$87*1)</f>
        <v/>
      </c>
      <c r="F83" s="1309">
        <f>$C$3-($C$3*$L$87*0)</f>
        <v/>
      </c>
      <c r="G83" s="1310">
        <f>$C$3-($C$3*$L$87*1)</f>
        <v/>
      </c>
      <c r="H83" s="1307">
        <f>$C$3-($C$3*$L$87*2)</f>
        <v/>
      </c>
      <c r="I83" s="1307">
        <f>$C$3-($C$3*$L$87*3)</f>
        <v/>
      </c>
      <c r="J83" s="1307">
        <f>$C$3-($C$3*$L$87*4)</f>
        <v/>
      </c>
      <c r="K83" s="1307">
        <f>$C$3-($C$3*$L$87*5)</f>
        <v/>
      </c>
      <c r="L83" s="1307">
        <f>$C$3-($C$3*$L$87*6)</f>
        <v/>
      </c>
      <c r="M83" s="889">
        <f>IF(M100,"Open Class Equivalent","No Age Grading")</f>
        <v/>
      </c>
      <c r="N83" s="1096" t="n"/>
      <c r="O83" s="411">
        <f>IF(AND($O$84="yes",$M$100),($O$74*LOOKUP($E$5,$AB$125:$AB$220,IF($C$4,$AC$125:$AC$220,$AD$125:$AD$220))/LOOKUP(25,$AB$125:$AB$220,IF($Q$49,$AC$125:$AC$220,$AD$125:$AD$220))),O74)</f>
        <v/>
      </c>
      <c r="P83" s="412">
        <f>IF(R85,"Kilometers","Miles")</f>
        <v/>
      </c>
      <c r="Q83" s="413" t="inlineStr">
        <is>
          <t>Time</t>
        </is>
      </c>
      <c r="R83" s="414" t="inlineStr">
        <is>
          <t>%VO2max</t>
        </is>
      </c>
    </row>
    <row customHeight="1" ht="13.5" r="84" s="663" thickBot="1">
      <c r="B84" s="1311" t="inlineStr">
        <is>
          <t>Adjusted VDOT</t>
        </is>
      </c>
      <c r="C84" s="1088" t="n"/>
      <c r="D84" s="1312">
        <f>IF(AND(D83&gt;0,$I$6&lt;&gt;"-"),$C$3*$I$6/D83,"-")</f>
        <v/>
      </c>
      <c r="E84" s="1313">
        <f>IF(AND(E83&gt;0,$I$6&lt;&gt;"-"),$C$3*$I$6/E83,"-")</f>
        <v/>
      </c>
      <c r="F84" s="1314">
        <f>IF(AND(F83&gt;0,$I$6&lt;&gt;"-"),$C$3*$I$6/F83,"-")</f>
        <v/>
      </c>
      <c r="G84" s="1315">
        <f>IF(AND(G83&gt;0,$I$6&lt;&gt;"-"),$C$3*$I$6/G83,"-")</f>
        <v/>
      </c>
      <c r="H84" s="1312">
        <f>IF(AND(H83&gt;0,$I$6&lt;&gt;"-"),$C$3*$I$6/H83,"-")</f>
        <v/>
      </c>
      <c r="I84" s="1312">
        <f>IF(AND(I83&gt;0,$I$6&lt;&gt;"-"),$C$3*$I$6/I83,"-")</f>
        <v/>
      </c>
      <c r="J84" s="1312">
        <f>IF(AND(J83&gt;0,$I$6&lt;&gt;"-"),$C$3*$I$6/J83,"-")</f>
        <v/>
      </c>
      <c r="K84" s="1312">
        <f>IF(AND(K83&gt;0,$I$6&lt;&gt;"-"),$C$3*$I$6/K83,"-")</f>
        <v/>
      </c>
      <c r="L84" s="1316">
        <f>IF(AND(L83&gt;0,$I$6&lt;&gt;"-"),$C$3*$I$6/L83,"-")</f>
        <v/>
      </c>
      <c r="M84" s="893" t="inlineStr">
        <is>
          <t>Valid Age?</t>
        </is>
      </c>
      <c r="N84" s="659" t="n"/>
      <c r="O84" s="417">
        <f>IF(AND(DATEDIF($E$2,NOW(),"y")&gt;=5,DATEDIF($E$2,NOW(),"y")&lt;=100),"Yes","No")</f>
        <v/>
      </c>
      <c r="P84" s="1317" t="n">
        <v>5</v>
      </c>
      <c r="Q84" s="419" t="n">
        <v>0.01421296296296296</v>
      </c>
      <c r="R84" s="420">
        <f>0.8+0.1894393 * EXP(-0.012778*Q84*1440)+0.2989558* EXP(-0.1932605*Q84*1440)</f>
        <v/>
      </c>
    </row>
    <row customHeight="1" ht="13.5" r="85" s="663" thickBot="1">
      <c r="B85" s="895" t="inlineStr">
        <is>
          <t>Estimated Time</t>
        </is>
      </c>
      <c r="C85" s="1075" t="n"/>
      <c r="D85" s="421">
        <f>IF(D84&lt;&gt;"-",$G$6*($I$6/D84)^$I$87,"-")</f>
        <v/>
      </c>
      <c r="E85" s="422">
        <f>IF(E84&lt;&gt;"-",$G$6*($I$6/E84)^$I$87,"-")</f>
        <v/>
      </c>
      <c r="F85" s="705">
        <f>IF(F84&lt;&gt;"-",$G$6*($I$6/F84)^$I$87,"-")</f>
        <v/>
      </c>
      <c r="G85" s="709">
        <f>IF(G84&lt;&gt;"-",$G$6*($I$6/G84)^$I$87,"-")</f>
        <v/>
      </c>
      <c r="H85" s="421">
        <f>IF(H84&lt;&gt;"-",$G$6*($I$6/H84)^$I$87,"-")</f>
        <v/>
      </c>
      <c r="I85" s="421">
        <f>IF(I84&lt;&gt;"-",$G$6*($I$6/I84)^$I$87,"-")</f>
        <v/>
      </c>
      <c r="J85" s="421">
        <f>IF(J84&lt;&gt;"-",$G$6*($I$6/J84)^$I$87,"-")</f>
        <v/>
      </c>
      <c r="K85" s="421">
        <f>IF(K84&lt;&gt;"-",$G$6*($I$6/K84)^$I$87,"-")</f>
        <v/>
      </c>
      <c r="L85" s="422">
        <f>IF(L84&lt;&gt;"-",$G$6*($I$6/L84)^$I$87,"-")</f>
        <v/>
      </c>
      <c r="M85" s="423" t="n"/>
      <c r="N85" s="424" t="n"/>
      <c r="O85" s="425" t="n"/>
      <c r="P85" s="1318">
        <f>ROUND((-4.6 + 0.182258 * ((P84*IF(R85,1000,1))/Q84/1440*(IF(R85,1,1609.344))) + 0.000104 *((P84*IF(R85,1000,1))/Q84/1440*(IF(R85,1,1609.344)))^2)/R84,1)</f>
        <v/>
      </c>
      <c r="Q85" s="1231" t="n"/>
      <c r="R85" s="1319" t="b">
        <v>0</v>
      </c>
    </row>
    <row customHeight="1" ht="13.5" r="86" s="663" thickBot="1" thickTop="1">
      <c r="B86" s="1320">
        <f>IF($L$82,"Est Pace / km","Est Pace / mile")</f>
        <v/>
      </c>
      <c r="C86" s="1229" t="n"/>
      <c r="D86" s="1321">
        <f>IF(D85&lt;&gt;"-",D85/IF($L$82,$F$8/1000,$D$8),"-")</f>
        <v/>
      </c>
      <c r="E86" s="1322">
        <f>IF(E85&lt;&gt;"-",E85/IF($L$82,$F$8/1000,$D$8),"-")</f>
        <v/>
      </c>
      <c r="F86" s="1323">
        <f>IF(F85&lt;&gt;"-",F85/IF($L$82,$F$8/1000,$D$8),"-")</f>
        <v/>
      </c>
      <c r="G86" s="1324">
        <f>IF(G85&lt;&gt;"-",G85/IF($L$82,$F$8/1000,$D$8),"-")</f>
        <v/>
      </c>
      <c r="H86" s="1321">
        <f>IF(H85&lt;&gt;"-",H85/IF($L$82,$F$8/1000,$D$8),"-")</f>
        <v/>
      </c>
      <c r="I86" s="1321">
        <f>IF(I85&lt;&gt;"-",I85/IF($L$82,$F$8/1000,$D$8),"-")</f>
        <v/>
      </c>
      <c r="J86" s="1321">
        <f>IF(J85&lt;&gt;"-",J85/IF($L$82,$F$8/1000,$D$8),"-")</f>
        <v/>
      </c>
      <c r="K86" s="1321">
        <f>IF(K85&lt;&gt;"-",K85/IF($L$82,$F$8/1000,$D$8),"-")</f>
        <v/>
      </c>
      <c r="L86" s="1322">
        <f>IF(L85&lt;&gt;"-",L85/IF($L$82,$F$8/1000,$D$8),"-")</f>
        <v/>
      </c>
      <c r="M86" s="1305" t="inlineStr">
        <is>
          <t>Weight Grading</t>
        </is>
      </c>
      <c r="N86" s="11" t="n"/>
      <c r="O86" s="1219" t="n"/>
      <c r="P86" s="1325" t="inlineStr">
        <is>
          <t>Time fields must be h:mm:ss format</t>
        </is>
      </c>
      <c r="Q86" s="286" t="n"/>
      <c r="R86" s="1326" t="n"/>
    </row>
    <row customHeight="1" ht="13.5" r="87" s="663" thickBot="1" thickTop="1">
      <c r="B87" s="1327" t="inlineStr">
        <is>
          <t>Estimated Times &amp; Pace are +/- 2 seconds per mile</t>
        </is>
      </c>
      <c r="C87" s="712" t="n"/>
      <c r="D87" s="712" t="n"/>
      <c r="E87" s="712" t="n"/>
      <c r="F87" s="712" t="n"/>
      <c r="G87" s="1238" t="n"/>
      <c r="H87" s="968" t="inlineStr">
        <is>
          <t>P.factor:</t>
        </is>
      </c>
      <c r="I87" s="661" t="n">
        <v>0.83</v>
      </c>
      <c r="J87" s="924" t="inlineStr">
        <is>
          <t>Weight Increment:</t>
        </is>
      </c>
      <c r="K87" s="1238" t="n"/>
      <c r="L87" s="1328" t="n">
        <v>0.045</v>
      </c>
      <c r="M87" s="1329">
        <f>IF($C$3&gt;0,$C$3,"Current Weight?")</f>
        <v/>
      </c>
      <c r="N87" s="1330" t="n"/>
      <c r="O87" s="1331">
        <f>IF(AND($N$88&gt;0,$N$89&gt;0,$N$89&lt;&gt;"",$M$101),ABS($O$83-$O$90),0)</f>
        <v/>
      </c>
      <c r="P87" s="853" t="inlineStr">
        <is>
          <t>Pace Calculator</t>
        </is>
      </c>
      <c r="Q87" s="11" t="n"/>
      <c r="R87" s="1219" t="n"/>
    </row>
    <row customHeight="1" ht="13.5" r="88" s="663" thickBot="1">
      <c r="B88" s="322" t="n"/>
      <c r="C88" s="934" t="inlineStr">
        <is>
          <t>* Red text on yellow background indicates weight below both BMI minimum &amp; Stillman Ideal</t>
        </is>
      </c>
      <c r="D88" s="712" t="n"/>
      <c r="E88" s="712" t="n"/>
      <c r="F88" s="712" t="n"/>
      <c r="G88" s="712" t="n"/>
      <c r="H88" s="712" t="n"/>
      <c r="I88" s="712" t="n"/>
      <c r="J88" s="712" t="n"/>
      <c r="K88" s="712" t="n"/>
      <c r="M88" s="863" t="inlineStr">
        <is>
          <t>Compare to</t>
        </is>
      </c>
      <c r="N88" s="1332">
        <f>IF($C$4,I95,I96)</f>
        <v/>
      </c>
      <c r="O88" s="1333" t="n"/>
      <c r="P88" s="432" t="inlineStr">
        <is>
          <t>Miles</t>
        </is>
      </c>
      <c r="Q88" s="413" t="inlineStr">
        <is>
          <t>Time</t>
        </is>
      </c>
      <c r="R88" s="433" t="inlineStr">
        <is>
          <t>Pace</t>
        </is>
      </c>
    </row>
    <row customHeight="1" ht="13.5" r="89" s="663" thickBot="1">
      <c r="B89" s="802" t="inlineStr">
        <is>
          <t>Body Mass Index (BMI)</t>
        </is>
      </c>
      <c r="C89" s="712" t="n"/>
      <c r="D89" s="712" t="n"/>
      <c r="E89" s="712" t="n"/>
      <c r="F89" s="712" t="n"/>
      <c r="G89" s="930">
        <f>IF($C$4,"Male","Female")</f>
        <v/>
      </c>
      <c r="H89" s="931">
        <f>IF(ISNUMBER($E$5),"Age  "&amp;$E$5,"Birthdate?")</f>
        <v/>
      </c>
      <c r="I89" s="931">
        <f>"Hgt  "&amp;$C$2</f>
        <v/>
      </c>
      <c r="J89" s="434">
        <f>"Wgt  "&amp;$C$3</f>
        <v/>
      </c>
      <c r="K89" s="930">
        <f>IF(AND(C2&gt;0,C3&gt;0),"Current BMI = " &amp;ROUND(IF($B$4,$C$3 / ($C$2/100)^2,$C$3 / $C$2^2*703),2),"Wght / Hght?")</f>
        <v/>
      </c>
      <c r="L89" s="712" t="n"/>
      <c r="M89" s="1334">
        <f>IF(AND($C$2&gt;0,$N$88&gt;0),IF($B$4,$N$88 / ($C$2/100)^2,$N$88 / $C$2^2*703),"")</f>
        <v/>
      </c>
      <c r="N89" s="1335">
        <f>IF(AND($C$2&gt;0,$N$88&gt;0),$C$3*$I$6/IF(N88&gt;=MIN(D92,F94),$N$88,MIN(F94,D92)),"")</f>
        <v/>
      </c>
      <c r="O89" s="1336" t="n"/>
      <c r="P89" s="1317" t="n">
        <v>1.2</v>
      </c>
      <c r="Q89" s="419" t="n">
        <v>0.0109837962962963</v>
      </c>
      <c r="R89" s="1337">
        <f>Q89/P89</f>
        <v/>
      </c>
      <c r="T89" s="728" t="n"/>
    </row>
    <row customHeight="1" ht="13.5" r="90" s="663" thickBot="1">
      <c r="B90" s="437" t="inlineStr">
        <is>
          <t>BMI Range</t>
        </is>
      </c>
      <c r="C90" s="438" t="inlineStr">
        <is>
          <t>&lt;18.5</t>
        </is>
      </c>
      <c r="D90" s="439" t="n">
        <v>18.5</v>
      </c>
      <c r="E90" s="439" t="n">
        <v>19</v>
      </c>
      <c r="F90" s="439" t="n">
        <v>20</v>
      </c>
      <c r="G90" s="439" t="n">
        <v>21</v>
      </c>
      <c r="H90" s="439" t="n">
        <v>22</v>
      </c>
      <c r="I90" s="439" t="n">
        <v>23</v>
      </c>
      <c r="J90" s="439" t="n">
        <v>24</v>
      </c>
      <c r="K90" s="439" t="n">
        <v>25</v>
      </c>
      <c r="L90" s="440" t="inlineStr">
        <is>
          <t>&gt;25</t>
        </is>
      </c>
      <c r="M90" s="949">
        <f>IF(M101,"Weight Adjusted Time","No Weight Grading")</f>
        <v/>
      </c>
      <c r="N90" s="1229" t="n"/>
      <c r="O90" s="441">
        <f>IF(AND($N$88&gt;0,$N$89&gt;0,$N$89&lt;&gt;"",$M$101),$O$83*(IF(N88&gt;=MIN(D92,F94,C3),$N$88,MIN(F94,D92,C3))/C3)^$I$87,O83)</f>
        <v/>
      </c>
      <c r="P90" s="432" t="inlineStr">
        <is>
          <t>Km</t>
        </is>
      </c>
      <c r="Q90" s="413" t="inlineStr">
        <is>
          <t>Time</t>
        </is>
      </c>
      <c r="R90" s="433" t="inlineStr">
        <is>
          <t>Pace</t>
        </is>
      </c>
    </row>
    <row customHeight="1" ht="13.5" r="91" s="663" thickBot="1">
      <c r="B91" s="442">
        <f>"for "&amp;IF($B$4,ROUND($C$2,0)&amp;" cm",INT($C$2/12)&amp;" ft "&amp;ROUND((($C$2/12)-INT($C$2/12))*12,1)&amp;" in")</f>
        <v/>
      </c>
      <c r="C91" s="443" t="inlineStr">
        <is>
          <t>Too Thin</t>
        </is>
      </c>
      <c r="D91" s="637">
        <f>IF($B$4,ROUND(D90*($C$2/100)^2,1)&amp;" kg",ROUND(D90/703*$C$2^2,0)&amp;" lb")</f>
        <v/>
      </c>
      <c r="E91" s="637">
        <f>IF($B$4,ROUND(E90*($C$2/100)^2,1)&amp;" kg",ROUND(E90/703*$C$2^2,0)&amp;" lb")</f>
        <v/>
      </c>
      <c r="F91" s="637">
        <f>IF($B$4,ROUND(F90*($C$2/100)^2,1)&amp;" kg",ROUND(F90/703*$C$2^2,0)&amp;" lb")</f>
        <v/>
      </c>
      <c r="G91" s="637">
        <f>IF($B$4,ROUND(G90*($C$2/100)^2,1)&amp;" kg",ROUND(G90/703*$C$2^2,0)&amp;" lb")</f>
        <v/>
      </c>
      <c r="H91" s="637">
        <f>IF($B$4,ROUND(H90*($C$2/100)^2,1)&amp;" kg",ROUND(H90/703*$C$2^2,0)&amp;" lb")</f>
        <v/>
      </c>
      <c r="I91" s="637">
        <f>IF($B$4,ROUND(I90*($C$2/100)^2,1)&amp;" kg",ROUND(I90/703*$C$2^2,0)&amp;" lb")</f>
        <v/>
      </c>
      <c r="J91" s="637">
        <f>IF($B$4,ROUND(J90*($C$2/100)^2,1)&amp;" kg",ROUND(J90/703*$C$2^2,0)&amp;" lb")</f>
        <v/>
      </c>
      <c r="K91" s="637">
        <f>IF($B$4,ROUND(K90*($C$2/100)^2,1)&amp;" kg",ROUND(K90/703*$C$2^2,0)&amp;" lb")</f>
        <v/>
      </c>
      <c r="L91" s="444" t="inlineStr">
        <is>
          <t>OvrWeight</t>
        </is>
      </c>
      <c r="M91" s="691" t="n"/>
      <c r="N91" s="692" t="n"/>
      <c r="O91" s="693" t="n"/>
      <c r="P91" s="1338" t="n">
        <v>10</v>
      </c>
      <c r="Q91" s="446" t="n">
        <v>0.03065972222222222</v>
      </c>
      <c r="R91" s="1339">
        <f>Q91/P91</f>
        <v/>
      </c>
    </row>
    <row customHeight="1" ht="13.5" r="92" s="663" thickBot="1" thickTop="1">
      <c r="B92" s="322" t="n"/>
      <c r="D92" s="727">
        <f>IF($B$4,D90*($C$2/100)^2,D90/703.07*$C$2^2)</f>
        <v/>
      </c>
      <c r="E92" s="727">
        <f>IF($B$4,E90*($C$2/100)^2,E90/703.07*$C$2^2)</f>
        <v/>
      </c>
      <c r="F92" s="727">
        <f>IF($B$4,F90*($C$2/100)^2,F90/703.07*$C$2^2)</f>
        <v/>
      </c>
      <c r="G92" s="727">
        <f>IF($B$4,G90*($C$2/100)^2,G90/703.07*$C$2^2)</f>
        <v/>
      </c>
      <c r="H92" s="727">
        <f>IF($B$4,H90*($C$2/100)^2,H90/703.07*$C$2^2)</f>
        <v/>
      </c>
      <c r="I92" s="727">
        <f>IF($B$4,I90*($C$2/100)^2,I90/703.07*$C$2^2)</f>
        <v/>
      </c>
      <c r="J92" s="727">
        <f>IF($B$4,J90*($C$2/100)^2,J90/703.07*$C$2^2)</f>
        <v/>
      </c>
      <c r="K92" s="727">
        <f>IF($B$4,K90*($C$2/100)^2,K90/703.07*$C$2^2)</f>
        <v/>
      </c>
      <c r="M92" s="735" t="n"/>
      <c r="N92" s="938" t="inlineStr">
        <is>
          <t>Stillman Defaults</t>
        </is>
      </c>
      <c r="O92" s="531" t="n"/>
      <c r="P92" s="1287" t="inlineStr">
        <is>
          <t>Finish Time Calculator</t>
        </is>
      </c>
      <c r="Q92" s="11" t="n"/>
      <c r="R92" s="1219" t="n"/>
    </row>
    <row customHeight="1" ht="13.5" r="93" s="663" thickBot="1" thickTop="1">
      <c r="B93" s="935" t="inlineStr">
        <is>
          <t xml:space="preserve">   Dr. Stillman's Weight Guidelines</t>
        </is>
      </c>
      <c r="C93" s="659" t="n"/>
      <c r="D93" s="659" t="n"/>
      <c r="E93" s="659" t="n"/>
      <c r="F93" s="711" t="n"/>
      <c r="G93" s="1340" t="inlineStr">
        <is>
          <t>Average Adult</t>
        </is>
      </c>
      <c r="H93" s="1282" t="n"/>
      <c r="I93" s="1341" t="inlineStr">
        <is>
          <t>Middle Dist Runner</t>
        </is>
      </c>
      <c r="J93" s="1282" t="n"/>
      <c r="K93" s="917" t="inlineStr">
        <is>
          <t>Long Dist Runner</t>
        </is>
      </c>
      <c r="L93" s="659" t="n"/>
      <c r="M93" s="1305" t="inlineStr">
        <is>
          <t>Temperature</t>
        </is>
      </c>
      <c r="N93" s="11" t="n"/>
      <c r="O93" s="1219" t="n"/>
      <c r="P93" s="432" t="inlineStr">
        <is>
          <t>Miles</t>
        </is>
      </c>
      <c r="Q93" s="413" t="inlineStr">
        <is>
          <t>Pace/mi</t>
        </is>
      </c>
      <c r="R93" s="433" t="inlineStr">
        <is>
          <t>Time</t>
        </is>
      </c>
    </row>
    <row customHeight="1" ht="13.5" r="94" s="663" thickBot="1">
      <c r="B94" s="719" t="n"/>
      <c r="C94" s="720" t="n"/>
      <c r="D94" s="720" t="n"/>
      <c r="E94" s="720" t="n"/>
      <c r="F94" s="734">
        <f>IF($C$4,K95,K96)</f>
        <v/>
      </c>
      <c r="G94" s="1342" t="inlineStr">
        <is>
          <t>Non-Active</t>
        </is>
      </c>
      <c r="H94" s="1343" t="n"/>
      <c r="I94" s="1344" t="inlineStr">
        <is>
          <t>(12% Below Average)</t>
        </is>
      </c>
      <c r="J94" s="1343" t="n"/>
      <c r="K94" s="941" t="inlineStr">
        <is>
          <t>(15% Below Average)</t>
        </is>
      </c>
      <c r="L94" s="640" t="n"/>
      <c r="M94" s="448">
        <f>IF($B$4,"Temp °C","Temp °F")</f>
        <v/>
      </c>
      <c r="N94" s="1345" t="n">
        <v>70</v>
      </c>
      <c r="O94" s="1346">
        <f>IF($M$102,IF($B$4,MAX($O$90*(($N$94-16)*0.002727),0),MAX($O$90*(($N$94-60)*0.0015),0)),0)</f>
        <v/>
      </c>
      <c r="P94" s="451" t="n">
        <v>26.2</v>
      </c>
      <c r="Q94" s="1347" t="n">
        <v>0.3576388888888889</v>
      </c>
      <c r="R94" s="453">
        <f>(Q94*P94)/60</f>
        <v/>
      </c>
    </row>
    <row customHeight="1" ht="13.5" r="95" s="663" thickBot="1">
      <c r="B95" s="1348">
        <f>"Based on a height of "&amp;IF($B$4,ROUND($C$2,3)&amp;" cm",INT($C$2/12)&amp;" ft "&amp;ROUND((($C$2/12)-INT($C$2/12))*12,1)&amp;" in")</f>
        <v/>
      </c>
      <c r="D95" s="635" t="n"/>
      <c r="E95" s="1349">
        <f>"Male       "&amp;IF(B4,"(kg)    ","(lb)    ")</f>
        <v/>
      </c>
      <c r="F95" s="1086" t="n"/>
      <c r="G95" s="1350">
        <f>IF($B$4,49.8952+(MAX($C$2,152.4)-152.4)/2.54*2.49476,110+(MAX($C$2,60)-60)*5.5)</f>
        <v/>
      </c>
      <c r="H95" s="1088" t="n"/>
      <c r="I95" s="1351">
        <f>G95*0.88</f>
        <v/>
      </c>
      <c r="J95" s="1088" t="n"/>
      <c r="K95" s="1352">
        <f>G95*0.85</f>
        <v/>
      </c>
      <c r="L95" s="1070" t="n"/>
      <c r="M95" s="956">
        <f>IF(M102,"Temp Adjusted Time","No Temp Grading")</f>
        <v/>
      </c>
      <c r="N95" s="1282" t="n"/>
      <c r="O95" s="441">
        <f>IF($N$96,$O$90+$O$94,$O$90-$O$94)</f>
        <v/>
      </c>
      <c r="P95" s="432" t="inlineStr">
        <is>
          <t>Km</t>
        </is>
      </c>
      <c r="Q95" s="413" t="inlineStr">
        <is>
          <t>Pace/km</t>
        </is>
      </c>
      <c r="R95" s="433" t="inlineStr">
        <is>
          <t>Time</t>
        </is>
      </c>
    </row>
    <row customHeight="1" ht="13.5" r="96" s="663" thickBot="1">
      <c r="B96" s="1353">
        <f>IF($B$4,"(Minimum height is 152.4 cm)","(Minimum height is 5 ft, 0 inches)")</f>
        <v/>
      </c>
      <c r="C96" s="640" t="n"/>
      <c r="D96" s="641" t="n"/>
      <c r="E96" s="1354">
        <f>"Female     "&amp;IF(B4,"(kg)    ","(lb)    ")</f>
        <v/>
      </c>
      <c r="F96" s="1355" t="n"/>
      <c r="G96" s="1356">
        <f>IF($B$4,45.3592+(MAX($C$2,152.4)-152.4)/2.54*2.26796,100+(MAX($C$2,60)-60)*5)</f>
        <v/>
      </c>
      <c r="H96" s="1229" t="n"/>
      <c r="I96" s="1357">
        <f>G96*0.88</f>
        <v/>
      </c>
      <c r="J96" s="1229" t="n"/>
      <c r="K96" s="1357">
        <f>G96*0.85</f>
        <v/>
      </c>
      <c r="L96" s="1229" t="n"/>
      <c r="M96" s="454" t="n"/>
      <c r="N96" s="455" t="b">
        <v>0</v>
      </c>
      <c r="O96" s="456" t="n"/>
      <c r="P96" s="457" t="n">
        <v>42.195</v>
      </c>
      <c r="Q96" s="1358" t="n">
        <v>0.1972222222222222</v>
      </c>
      <c r="R96" s="459">
        <f>(Q96*P96)/60</f>
        <v/>
      </c>
    </row>
    <row customHeight="1" ht="13.5" r="97" s="663" thickBot="1" thickTop="1">
      <c r="B97" s="322" t="n"/>
      <c r="C97" s="1065" t="n"/>
      <c r="I97" s="712" t="n"/>
      <c r="J97" s="712" t="n"/>
      <c r="M97" s="460" t="n"/>
      <c r="N97" s="461" t="n"/>
      <c r="O97" s="462" t="n"/>
      <c r="P97" s="1359" t="inlineStr">
        <is>
          <t>Quick Converter</t>
        </is>
      </c>
      <c r="Q97" s="11" t="n"/>
      <c r="R97" s="1219" t="n"/>
    </row>
    <row customHeight="1" ht="13.5" r="98" s="663" thickBot="1">
      <c r="B98" s="802">
        <f>"Misc O2 Consumption Calculations - "&amp;E6</f>
        <v/>
      </c>
      <c r="C98" s="712" t="n"/>
      <c r="D98" s="712" t="n"/>
      <c r="E98" s="712" t="n"/>
      <c r="F98" s="712" t="n"/>
      <c r="G98" s="712" t="n"/>
      <c r="H98" s="712" t="n"/>
      <c r="I98" s="712" t="n"/>
      <c r="J98" s="712" t="n"/>
      <c r="K98" s="712" t="n"/>
      <c r="L98" s="712" t="n"/>
      <c r="M98" s="322" t="n"/>
      <c r="O98" s="406" t="n"/>
      <c r="P98" s="1360" t="inlineStr">
        <is>
          <t>US to Metric</t>
        </is>
      </c>
      <c r="Q98" s="659" t="n"/>
      <c r="R98" s="336" t="n"/>
    </row>
    <row customHeight="1" ht="13.5" r="99" s="663" thickBot="1" thickTop="1">
      <c r="B99" s="1361" t="n"/>
      <c r="C99" s="712" t="n"/>
      <c r="D99" s="1077" t="n"/>
      <c r="E99" s="967">
        <f>"Weight in "&amp;IF($B$4,"kg","lbs")</f>
        <v/>
      </c>
      <c r="F99" s="1238" t="n"/>
      <c r="G99" s="968" t="inlineStr">
        <is>
          <t>VDOT</t>
        </is>
      </c>
      <c r="H99" s="1238" t="n"/>
      <c r="I99" s="969" t="inlineStr">
        <is>
          <t>Absolute VO2max</t>
        </is>
      </c>
      <c r="J99" s="712" t="n"/>
      <c r="K99" s="833" t="inlineStr">
        <is>
          <t>%VO2max</t>
        </is>
      </c>
      <c r="L99" s="684" t="inlineStr">
        <is>
          <t>Time</t>
        </is>
      </c>
      <c r="M99" s="1362" t="inlineStr">
        <is>
          <t>Time Grade Summary</t>
        </is>
      </c>
      <c r="N99" s="11" t="n"/>
      <c r="O99" s="1219" t="n"/>
      <c r="P99" s="1363" t="n">
        <v>3.1</v>
      </c>
      <c r="Q99" s="1364">
        <f>P99*1.609344</f>
        <v/>
      </c>
      <c r="R99" s="1088" t="n"/>
    </row>
    <row customHeight="1" ht="13.5" r="100" s="663">
      <c r="B100" s="698" t="b">
        <v>1</v>
      </c>
      <c r="C100" s="1000">
        <f>IF($B$100,"Elite Male","Elite Female")</f>
        <v/>
      </c>
      <c r="D100" s="1086" t="n"/>
      <c r="E100" s="1365">
        <f>IF($B$100,130,105)/IF($B$4,2.20462,1)</f>
        <v/>
      </c>
      <c r="F100" s="1088" t="n"/>
      <c r="G100" s="1059">
        <f>IF(E6="Custom","Custom Entry",IF($B$100,VLOOKUP($E$6,$N$50:$AB69,14,0),VLOOKUP($E$6,$N$50:$AB69,15,0)))</f>
        <v/>
      </c>
      <c r="H100" s="1088" t="n"/>
      <c r="I100" s="1366">
        <f>IF(E6="Custom","-",E100*G100*IF($B$4,1,0.45359237)/1000)</f>
        <v/>
      </c>
      <c r="J100" s="1088" t="n"/>
      <c r="K100" s="685">
        <f>IF(E6="Custom","-",IF($B$100,VLOOKUP($E$6,$N$50:$AB69,12,0),VLOOKUP($E$6,$N$50:$AB69,13,0)))</f>
        <v/>
      </c>
      <c r="L100" s="686">
        <f>IF(E6="Custom","-",IF($B$100,VLOOKUP($E$6,$N$50:$AB69,7,0),VLOOKUP($E$6,$N$50:$AB69,8,0)))</f>
        <v/>
      </c>
      <c r="M100" s="1053" t="b">
        <v>1</v>
      </c>
      <c r="N100" s="1075" t="n"/>
      <c r="O100" s="1346">
        <f>$O$82</f>
        <v/>
      </c>
      <c r="P100" s="1367" t="n">
        <v>0.4166666666666667</v>
      </c>
      <c r="Q100" s="1368">
        <f>P100/1.609344/60</f>
        <v/>
      </c>
      <c r="R100" s="1369" t="n"/>
    </row>
    <row customHeight="1" ht="13.5" r="101" s="663">
      <c r="B101" s="1370">
        <f>"Entry Weight &amp; VDOT"</f>
        <v/>
      </c>
      <c r="C101" s="1074" t="n"/>
      <c r="D101" s="1371" t="n"/>
      <c r="E101" s="1372">
        <f>IF($C$3,$C$3,"Weight?")</f>
        <v/>
      </c>
      <c r="F101" s="1075" t="n"/>
      <c r="G101" s="1052">
        <f>$I$6</f>
        <v/>
      </c>
      <c r="H101" s="1075" t="n"/>
      <c r="I101" s="1373">
        <f>IF(E101&lt;&gt;"Weight?",E101*G101*IF($B$4,1,0.45359237)/1000,"-")</f>
        <v/>
      </c>
      <c r="J101" s="1074" t="n"/>
      <c r="K101" s="685">
        <f>D9</f>
        <v/>
      </c>
      <c r="L101" s="686">
        <f>$G$6</f>
        <v/>
      </c>
      <c r="M101" s="1053" t="b">
        <v>1</v>
      </c>
      <c r="N101" s="1075" t="n"/>
      <c r="O101" s="1346">
        <f>$O$87</f>
        <v/>
      </c>
      <c r="P101" s="1374" t="n">
        <v>130</v>
      </c>
      <c r="Q101" s="1375">
        <f>P101*0.45359237</f>
        <v/>
      </c>
      <c r="R101" s="1075" t="n"/>
    </row>
    <row customHeight="1" ht="13.5" r="102" s="663" thickBot="1">
      <c r="B102" s="1376" t="inlineStr">
        <is>
          <t>VDOT if I Now Weighed --&gt;</t>
        </is>
      </c>
      <c r="C102" s="1377" t="n"/>
      <c r="D102" s="1378" t="n"/>
      <c r="E102" s="1379" t="n">
        <v>170</v>
      </c>
      <c r="F102" s="1380" t="n"/>
      <c r="G102" s="994">
        <f>IF(E101="Weight?",E101,IF(E102,E101*G101/E102,""))</f>
        <v/>
      </c>
      <c r="H102" s="1380" t="n"/>
      <c r="I102" s="1381">
        <f>IF(AND(E102,G102&lt;&gt;"Weight?"),E102*IF($B$4,1,0.45359237)*G102/1000,"-")</f>
        <v/>
      </c>
      <c r="J102" s="1377" t="n"/>
      <c r="K102" s="723">
        <f>IF(AND(E102,I102&lt;&gt;"-"),IF(L105,0,0.8+0.1894393*EXP(-0.012778*L102*1440)+0.2989558*EXP(-0.1932605*L102*1440)),"-")</f>
        <v/>
      </c>
      <c r="L102" s="724">
        <f>IF(AND(E102,I102&lt;&gt;"-"),L101*(G101/G102)^$I$87,"-")</f>
        <v/>
      </c>
      <c r="M102" s="997" t="b">
        <v>0</v>
      </c>
      <c r="N102" s="1330" t="n"/>
      <c r="O102" s="1346">
        <f>$O$94</f>
        <v/>
      </c>
      <c r="P102" s="1382" t="n">
        <v>74</v>
      </c>
      <c r="Q102" s="1383">
        <f>P102*2.54</f>
        <v/>
      </c>
      <c r="R102" s="1229" t="n"/>
    </row>
    <row customHeight="1" ht="13.5" r="103" s="663" thickBot="1" thickTop="1">
      <c r="B103" s="1033" t="inlineStr">
        <is>
          <t>My Peak 5k</t>
        </is>
      </c>
      <c r="C103" s="224" t="n"/>
      <c r="D103" s="725" t="n">
        <v>0.01241898148148148</v>
      </c>
      <c r="E103" s="1384" t="n">
        <v>170</v>
      </c>
      <c r="F103" s="1300" t="n"/>
      <c r="G103" s="984">
        <f>IF(D103*E103,(-4.6 + 0.182258 * (5000/D103/1440) + 0.000104 *(5000/D103/1440)^2)/K103,"")</f>
        <v/>
      </c>
      <c r="H103" s="1300" t="n"/>
      <c r="I103" s="1385">
        <f>IF(D103*E103,E103*G103*IF($B$4,1,0.45359237)/1000,"")</f>
        <v/>
      </c>
      <c r="J103" s="224" t="n"/>
      <c r="K103" s="721">
        <f>IF(D103*E103,0.8+0.1894393*EXP(-0.012778*D103*1440)+0.2989558*EXP(-0.1932605*D103*1440),"")</f>
        <v/>
      </c>
      <c r="L103" s="722">
        <f>D103</f>
        <v/>
      </c>
      <c r="M103" s="987" t="inlineStr">
        <is>
          <t>Combined Time Grade</t>
        </is>
      </c>
      <c r="N103" s="1080" t="n"/>
      <c r="O103" s="467">
        <f>$O$74-$O$100+IF($N$88&lt;$M$87,-$O$101,$O$101)+IF($N$96,$O$102,-$O$102)</f>
        <v/>
      </c>
      <c r="P103" s="1360" t="inlineStr">
        <is>
          <t>Metric to US</t>
        </is>
      </c>
      <c r="Q103" s="659" t="n"/>
      <c r="R103" s="336" t="n"/>
    </row>
    <row customHeight="1" ht="13.5" r="104" s="663" thickBot="1" thickTop="1">
      <c r="B104" s="1044" t="inlineStr">
        <is>
          <t>My Peak 10k</t>
        </is>
      </c>
      <c r="C104" s="1074" t="n"/>
      <c r="D104" s="726" t="n">
        <v>0.02633101851851852</v>
      </c>
      <c r="E104" s="1386" t="n">
        <v>170</v>
      </c>
      <c r="F104" s="1229" t="n"/>
      <c r="G104" s="1041">
        <f>IF(D104*E104,(-4.6 + 0.182258 * (10000/D104/1440) + 0.000104 *(10000/D104/1440)^2)/K104,"")</f>
        <v/>
      </c>
      <c r="H104" s="1075" t="n"/>
      <c r="I104" s="1373">
        <f>IF(D104*E104,E104*G104*IF($B$4,1,0.45359237)/1000,"")</f>
        <v/>
      </c>
      <c r="J104" s="1074" t="n"/>
      <c r="K104" s="685">
        <f>IF(D104*E104,0.8+0.1894393*EXP(-0.012778*D104*1440)+0.2989558*EXP(-0.1932605*D104*1440),"")</f>
        <v/>
      </c>
      <c r="L104" s="687">
        <f>D104</f>
        <v/>
      </c>
      <c r="P104" s="1387" t="n">
        <v>1.3</v>
      </c>
      <c r="Q104" s="1388">
        <f>P104*0.621371192</f>
        <v/>
      </c>
      <c r="R104" s="1088" t="n"/>
    </row>
    <row customHeight="1" ht="13.5" r="105" s="663" thickBot="1">
      <c r="B105" s="688" t="n"/>
      <c r="C105" s="689" t="n"/>
      <c r="D105" s="1046" t="inlineStr">
        <is>
          <t>Absolute VO2max (Liters/Min) = weight (kg) x VDOT / 1000</t>
        </is>
      </c>
      <c r="E105" s="1231" t="n"/>
      <c r="F105" s="1231" t="n"/>
      <c r="G105" s="1231" t="n"/>
      <c r="H105" s="1231" t="n"/>
      <c r="I105" s="1231" t="n"/>
      <c r="J105" s="1231" t="n"/>
      <c r="K105" s="689" t="n"/>
      <c r="L105" s="690" t="n"/>
      <c r="N105" s="556" t="n"/>
      <c r="O105" s="556" t="n"/>
      <c r="P105" s="1389" t="n">
        <v>0.2590277777777778</v>
      </c>
      <c r="Q105" s="1390">
        <f>P105/0.62137117223/60</f>
        <v/>
      </c>
      <c r="R105" s="1369" t="n"/>
    </row>
    <row customHeight="1" ht="13.5" r="106" s="663" thickBot="1" thickTop="1">
      <c r="B106" s="470" t="n"/>
      <c r="C106" s="1065" t="n"/>
      <c r="D106" s="1065" t="n"/>
      <c r="E106" s="1065" t="n"/>
      <c r="F106" s="1065" t="n"/>
      <c r="G106" s="1065" t="n"/>
      <c r="H106" s="1065" t="n"/>
      <c r="I106" s="1065" t="n"/>
      <c r="J106" s="1065" t="n"/>
      <c r="K106" s="1065" t="n"/>
      <c r="L106" s="472" t="n"/>
      <c r="O106" s="556" t="n"/>
      <c r="P106" s="1391" t="n">
        <v>62</v>
      </c>
      <c r="Q106" s="1392">
        <f>P106*2.20462262</f>
        <v/>
      </c>
      <c r="R106" s="1075" t="n"/>
    </row>
    <row customHeight="1" ht="13.5" r="107" s="663" thickBot="1" thickTop="1">
      <c r="B107" s="1359" t="inlineStr">
        <is>
          <t>Weekly Workload Distribution</t>
        </is>
      </c>
      <c r="C107" s="11" t="n"/>
      <c r="D107" s="11" t="n"/>
      <c r="E107" s="11" t="n"/>
      <c r="F107" s="11" t="n"/>
      <c r="G107" s="11" t="n"/>
      <c r="H107" s="11" t="n"/>
      <c r="I107" s="11" t="n"/>
      <c r="J107" s="11" t="n"/>
      <c r="K107" s="11" t="n"/>
      <c r="L107" s="1219" t="n"/>
      <c r="O107" s="556" t="n"/>
      <c r="P107" s="1393" t="n">
        <v>188</v>
      </c>
      <c r="Q107" s="1394">
        <f>P107*0.393700787</f>
        <v/>
      </c>
      <c r="R107" s="1330" t="n"/>
    </row>
    <row customHeight="1" ht="13.5" r="108" s="663" thickBot="1">
      <c r="B108" s="1022" t="inlineStr">
        <is>
          <t>Run Type</t>
        </is>
      </c>
      <c r="C108" s="640" t="n"/>
      <c r="D108" s="1023" t="inlineStr">
        <is>
          <t>%HRmax</t>
        </is>
      </c>
      <c r="E108" s="625" t="inlineStr">
        <is>
          <t>Mon</t>
        </is>
      </c>
      <c r="F108" s="625" t="inlineStr">
        <is>
          <t>Tues</t>
        </is>
      </c>
      <c r="G108" s="625" t="inlineStr">
        <is>
          <t>Wed</t>
        </is>
      </c>
      <c r="H108" s="625" t="inlineStr">
        <is>
          <t>Thur</t>
        </is>
      </c>
      <c r="I108" s="625" t="inlineStr">
        <is>
          <t>Fri</t>
        </is>
      </c>
      <c r="J108" s="625" t="inlineStr">
        <is>
          <t>Sat</t>
        </is>
      </c>
      <c r="K108" s="626" t="inlineStr">
        <is>
          <t>Sun</t>
        </is>
      </c>
      <c r="L108" s="476" t="inlineStr">
        <is>
          <t>Percent</t>
        </is>
      </c>
      <c r="O108" s="556" t="n"/>
      <c r="P108" s="1395" t="inlineStr">
        <is>
          <t>Pace/Speed Conversions</t>
        </is>
      </c>
      <c r="Q108" s="712" t="n"/>
      <c r="R108" s="1253" t="n"/>
    </row>
    <row customHeight="1" ht="13.5" r="109" s="663" thickTop="1">
      <c r="B109" s="1396" t="inlineStr">
        <is>
          <t>WarmUp / Recovery</t>
        </is>
      </c>
      <c r="C109" s="1086" t="n"/>
      <c r="D109" s="477" t="inlineStr">
        <is>
          <t>65-70%</t>
        </is>
      </c>
      <c r="E109" s="1397" t="n">
        <v>1</v>
      </c>
      <c r="F109" s="1397" t="n">
        <v>1</v>
      </c>
      <c r="G109" s="1397" t="n">
        <v>1</v>
      </c>
      <c r="H109" s="1397" t="n">
        <v>1</v>
      </c>
      <c r="I109" s="1397" t="n"/>
      <c r="J109" s="1397" t="n">
        <v>1</v>
      </c>
      <c r="K109" s="1398" t="n"/>
      <c r="L109" s="1399">
        <f>IF(SUM(E109:K109)&gt;0,SUM(E109:K109)/L118,"---")</f>
        <v/>
      </c>
      <c r="M109" s="479" t="inlineStr">
        <is>
          <t>Recovery</t>
        </is>
      </c>
      <c r="O109" s="556" t="n"/>
      <c r="P109" s="1367" t="n">
        <v>0.4166666666666667</v>
      </c>
      <c r="Q109" s="1400">
        <f>P109*1440</f>
        <v/>
      </c>
      <c r="R109" s="1401">
        <f>60/P109/24</f>
        <v/>
      </c>
    </row>
    <row customHeight="1" ht="13.5" r="110" s="663">
      <c r="B110" s="1402" t="inlineStr">
        <is>
          <t>Aerobic Zone</t>
        </is>
      </c>
      <c r="C110" s="1371" t="n"/>
      <c r="D110" s="482" t="inlineStr">
        <is>
          <t>70-79%</t>
        </is>
      </c>
      <c r="E110" s="1403" t="n">
        <v>5.2</v>
      </c>
      <c r="F110" s="1403" t="n">
        <v>3.7</v>
      </c>
      <c r="G110" s="1403" t="n">
        <v>3</v>
      </c>
      <c r="H110" s="1403" t="n">
        <v>5.2</v>
      </c>
      <c r="I110" s="1403" t="n"/>
      <c r="J110" s="1404" t="n">
        <v>5.2</v>
      </c>
      <c r="K110" s="1405" t="n"/>
      <c r="L110" s="1406">
        <f>IF(SUM(E110:K110)&gt;0,SUM(E110:K110)/L118,"---")</f>
        <v/>
      </c>
      <c r="M110" s="484" t="inlineStr">
        <is>
          <t>&amp; Aerobic</t>
        </is>
      </c>
      <c r="O110" s="556" t="n"/>
      <c r="P110" s="1407" t="n">
        <v>6</v>
      </c>
      <c r="Q110" s="1408">
        <f>60/P110/1440</f>
        <v/>
      </c>
      <c r="R110" s="1409">
        <f>60/P110*60</f>
        <v/>
      </c>
    </row>
    <row customHeight="1" ht="13.5" r="111" s="663" thickBot="1">
      <c r="B111" s="1410" t="inlineStr">
        <is>
          <t xml:space="preserve">Long Run </t>
        </is>
      </c>
      <c r="C111" s="1084" t="n"/>
      <c r="D111" s="488" t="inlineStr">
        <is>
          <t>70-75%</t>
        </is>
      </c>
      <c r="E111" s="1411">
        <f>IF(MAX($E$118:$K$118)=E118,"*","")</f>
        <v/>
      </c>
      <c r="F111" s="1412">
        <f>IF(MAX($E$118:$K$118)=F118,"*","")</f>
        <v/>
      </c>
      <c r="G111" s="1412">
        <f>IF(MAX($E$118:$K$118)=G118,"*","")</f>
        <v/>
      </c>
      <c r="H111" s="1412">
        <f>IF(MAX($E$118:$K$118)=H118,"*","")</f>
        <v/>
      </c>
      <c r="I111" s="1412">
        <f>IF(MAX($E$118:$K$118)=I118,"*","")</f>
        <v/>
      </c>
      <c r="J111" s="1412">
        <f>IF(MAX($E$118:$K$118)=J118,"*","")</f>
        <v/>
      </c>
      <c r="K111" s="1413">
        <f>IF(MAX($E$118:$K$118)=K118,"*","")</f>
        <v/>
      </c>
      <c r="L111" s="1414">
        <f>IF(L118&gt;0,MAX(E118:K118)/L118,"---")</f>
        <v/>
      </c>
      <c r="M111" s="1415">
        <f>IF(L118&gt;0,SUM(E109:K110)/L118,0)</f>
        <v/>
      </c>
      <c r="O111" s="556" t="n"/>
      <c r="P111" s="1416" t="n">
        <v>600</v>
      </c>
      <c r="Q111" s="1417">
        <f>P111/1440/60</f>
        <v/>
      </c>
      <c r="R111" s="1418">
        <f>60/P111*60</f>
        <v/>
      </c>
    </row>
    <row customHeight="1" ht="13.5" r="112" s="663">
      <c r="B112" s="1396" t="inlineStr">
        <is>
          <t xml:space="preserve"> Marathon Pace</t>
        </is>
      </c>
      <c r="C112" s="1086" t="n"/>
      <c r="D112" s="497" t="inlineStr">
        <is>
          <t>80-89%</t>
        </is>
      </c>
      <c r="E112" s="1397" t="n"/>
      <c r="F112" s="1397" t="n">
        <v>1.5</v>
      </c>
      <c r="G112" s="1397" t="n"/>
      <c r="H112" s="1397" t="n"/>
      <c r="I112" s="1397" t="n"/>
      <c r="J112" s="1397" t="n">
        <v>5.8</v>
      </c>
      <c r="K112" s="1398" t="n"/>
      <c r="L112" s="1399">
        <f>IF(SUM(E112:K112)&gt;0,SUM(E112:K112)/L118,"---")</f>
        <v/>
      </c>
      <c r="M112" s="498" t="inlineStr">
        <is>
          <t>Endurance</t>
        </is>
      </c>
      <c r="O112" s="556" t="n"/>
      <c r="P112" s="1419" t="n">
        <v>0.2590277777777778</v>
      </c>
      <c r="Q112" s="1400">
        <f>P112*1440</f>
        <v/>
      </c>
      <c r="R112" s="1420">
        <f>60/P112/24</f>
        <v/>
      </c>
    </row>
    <row customHeight="1" ht="13.5" r="113" s="663">
      <c r="B113" s="1402" t="inlineStr">
        <is>
          <t>Tempo / Cruise</t>
        </is>
      </c>
      <c r="C113" s="1371" t="n"/>
      <c r="D113" s="501" t="inlineStr">
        <is>
          <t>88-92%</t>
        </is>
      </c>
      <c r="E113" s="1404" t="n"/>
      <c r="F113" s="1404" t="n"/>
      <c r="G113" s="1404" t="n">
        <v>2.6</v>
      </c>
      <c r="H113" s="1404" t="n"/>
      <c r="I113" s="1404" t="n"/>
      <c r="J113" s="1404" t="n"/>
      <c r="K113" s="1405" t="n"/>
      <c r="L113" s="1406">
        <f>IF(SUM(E113:K113)&gt;0,SUM(E113:K113)/L118,"---")</f>
        <v/>
      </c>
      <c r="M113" s="484" t="inlineStr">
        <is>
          <t>&amp; Strength</t>
        </is>
      </c>
      <c r="N113" s="556" t="n"/>
      <c r="O113" s="556" t="n"/>
      <c r="P113" s="1421" t="n">
        <v>9.65</v>
      </c>
      <c r="Q113" s="1422">
        <f>60/P113/1440</f>
        <v/>
      </c>
      <c r="R113" s="1409">
        <f>60/P113*60</f>
        <v/>
      </c>
    </row>
    <row customHeight="1" ht="13.5" r="114" s="663" thickBot="1">
      <c r="B114" s="1009" t="inlineStr">
        <is>
          <t>Hills</t>
        </is>
      </c>
      <c r="C114" s="1072" t="n"/>
      <c r="D114" s="1010" t="n"/>
      <c r="E114" s="1403" t="n"/>
      <c r="F114" s="1403" t="n"/>
      <c r="G114" s="1403" t="n"/>
      <c r="H114" s="1403" t="n"/>
      <c r="I114" s="1403" t="n"/>
      <c r="J114" s="1403" t="n"/>
      <c r="K114" s="1423" t="n"/>
      <c r="L114" s="1414">
        <f>IF(SUM(E114:K114)&gt;0,SUM(E114:K114)/L118,"---")</f>
        <v/>
      </c>
      <c r="M114" s="1415">
        <f>SUM(L112:L114)</f>
        <v/>
      </c>
      <c r="N114" s="556" t="n"/>
      <c r="O114" s="556" t="n"/>
      <c r="P114" s="1416" t="n">
        <v>373</v>
      </c>
      <c r="Q114" s="1424">
        <f>P114/1440/60</f>
        <v/>
      </c>
      <c r="R114" s="1425">
        <f>60/P114*60</f>
        <v/>
      </c>
    </row>
    <row customHeight="1" ht="13.5" r="115" s="663" thickBot="1">
      <c r="B115" s="1396" t="inlineStr">
        <is>
          <t xml:space="preserve">Intervals </t>
        </is>
      </c>
      <c r="C115" s="1086" t="n"/>
      <c r="D115" s="497" t="inlineStr">
        <is>
          <t>95-100%</t>
        </is>
      </c>
      <c r="E115" s="1397" t="n"/>
      <c r="F115" s="1397" t="n"/>
      <c r="G115" s="1397" t="n"/>
      <c r="H115" s="1397" t="n"/>
      <c r="I115" s="1397" t="n"/>
      <c r="J115" s="1397" t="n"/>
      <c r="K115" s="1398" t="n"/>
      <c r="L115" s="1399">
        <f>IF(SUM(E115:K115)&gt;0,SUM(E115:K115)/L118,"---")</f>
        <v/>
      </c>
      <c r="M115" s="498" t="inlineStr">
        <is>
          <t>Speed</t>
        </is>
      </c>
      <c r="N115" s="556" t="n"/>
      <c r="O115" s="556" t="n"/>
      <c r="P115" s="507" t="n"/>
      <c r="Q115" s="508" t="inlineStr">
        <is>
          <t>Miles</t>
        </is>
      </c>
      <c r="R115" s="509" t="inlineStr">
        <is>
          <t>Meters</t>
        </is>
      </c>
    </row>
    <row customHeight="1" ht="13.5" r="116" s="663" thickTop="1">
      <c r="B116" s="1410" t="inlineStr">
        <is>
          <t xml:space="preserve">Repititions </t>
        </is>
      </c>
      <c r="C116" s="1084" t="n"/>
      <c r="D116" s="510" t="inlineStr">
        <is>
          <t>Race Pace</t>
        </is>
      </c>
      <c r="E116" s="1403" t="n"/>
      <c r="F116" s="1403" t="n"/>
      <c r="G116" s="1403" t="n"/>
      <c r="H116" s="1403" t="n"/>
      <c r="I116" s="1403" t="n"/>
      <c r="J116" s="1403" t="n"/>
      <c r="K116" s="1423" t="n"/>
      <c r="L116" s="1414">
        <f>IF(SUM(E116:K116)&gt;0,SUM(E116:K116)/L118,"---")</f>
        <v/>
      </c>
      <c r="M116" s="484" t="inlineStr">
        <is>
          <t>&amp; Races</t>
        </is>
      </c>
      <c r="N116" s="556" t="n"/>
      <c r="O116" s="556" t="n"/>
      <c r="P116" s="511" t="inlineStr">
        <is>
          <t>1/2 Mar</t>
        </is>
      </c>
      <c r="Q116" s="1426" t="n">
        <v>13.109375</v>
      </c>
      <c r="R116" s="1427" t="n">
        <v>21097.494</v>
      </c>
    </row>
    <row customHeight="1" ht="13.5" r="117" s="663" thickBot="1">
      <c r="B117" s="1428" t="inlineStr">
        <is>
          <t xml:space="preserve">Race </t>
        </is>
      </c>
      <c r="C117" s="1096" t="n"/>
      <c r="D117" s="1038" t="n"/>
      <c r="E117" s="1404" t="n"/>
      <c r="F117" s="1404" t="n"/>
      <c r="G117" s="1404" t="n"/>
      <c r="H117" s="1404" t="n"/>
      <c r="I117" s="1404" t="n"/>
      <c r="J117" s="1429" t="n"/>
      <c r="K117" s="1430" t="n"/>
      <c r="L117" s="1414">
        <f>IF(SUM(E117:K117)&gt;0,SUM(E117:K117)/L118,"---")</f>
        <v/>
      </c>
      <c r="M117" s="1431">
        <f>SUM(L115:L117)</f>
        <v/>
      </c>
      <c r="N117" s="556" t="n"/>
      <c r="O117" s="516" t="n"/>
      <c r="P117" s="517" t="inlineStr">
        <is>
          <t>Marathon</t>
        </is>
      </c>
      <c r="Q117" s="1432" t="n">
        <v>26.21875</v>
      </c>
      <c r="R117" s="1433" t="n">
        <v>42194.988</v>
      </c>
      <c r="S117" s="1065" t="n"/>
      <c r="T117" s="1065" t="n"/>
      <c r="U117" s="1065" t="n"/>
    </row>
    <row customHeight="1" ht="13.5" r="118" s="663" thickBot="1" thickTop="1">
      <c r="B118" s="520" t="n"/>
      <c r="C118" s="1434" t="inlineStr">
        <is>
          <t>Totals</t>
        </is>
      </c>
      <c r="D118" s="1435" t="n"/>
      <c r="E118" s="1436">
        <f>E109+E110+E112+E113+E114+E115+E116+E117</f>
        <v/>
      </c>
      <c r="F118" s="1436">
        <f>F109+F110+F112+F113+F114+F115+F116+F117</f>
        <v/>
      </c>
      <c r="G118" s="1436">
        <f>G109+G110+G112+G113+G114+G115+G116+G117</f>
        <v/>
      </c>
      <c r="H118" s="1436">
        <f>H109+H110+H112+H113+H114+H115+H116+H117</f>
        <v/>
      </c>
      <c r="I118" s="1436">
        <f>I109+I110+I112+I113+I114+I115+I116+I117</f>
        <v/>
      </c>
      <c r="J118" s="1437">
        <f>J109+J110+J112+J113+J114+J115+J116+J117</f>
        <v/>
      </c>
      <c r="K118" s="1438">
        <f>K109+K110+K112+K113+K114+K115+K116+K117</f>
        <v/>
      </c>
      <c r="L118" s="1439">
        <f>SUM(E118:K118)</f>
        <v/>
      </c>
      <c r="R118" s="527" t="n"/>
      <c r="S118" s="1065" t="n"/>
      <c r="T118" s="1065" t="n"/>
      <c r="U118" s="1065" t="n"/>
    </row>
    <row customHeight="1" ht="13.5" r="119" s="663" thickBot="1" thickTop="1">
      <c r="B119" s="29" t="n"/>
      <c r="C119" s="528" t="n"/>
      <c r="D119" s="507" t="n"/>
      <c r="E119" s="529" t="n"/>
      <c r="F119" s="507" t="n"/>
      <c r="G119" s="530" t="inlineStr">
        <is>
          <t>* Asterisk Denotes Highest Mileage Day</t>
        </is>
      </c>
      <c r="H119" s="507" t="n"/>
      <c r="I119" s="507" t="n"/>
      <c r="J119" s="507" t="n"/>
      <c r="K119" s="507" t="n"/>
      <c r="L119" s="507" t="n"/>
      <c r="M119" s="507" t="n"/>
      <c r="N119" s="507" t="n"/>
      <c r="O119" s="507" t="n"/>
      <c r="P119" s="507" t="n"/>
      <c r="Q119" s="507" t="n"/>
      <c r="R119" s="531" t="n"/>
      <c r="S119" s="1065" t="n"/>
      <c r="T119" s="1065" t="n"/>
      <c r="U119" s="1065" t="n"/>
    </row>
    <row customHeight="1" ht="13.5" r="120" s="663" thickTop="1">
      <c r="S120" s="1065" t="n"/>
      <c r="T120" s="1065" t="n"/>
      <c r="U120" s="1065" t="n"/>
    </row>
    <row customHeight="1" ht="13.5" r="121" s="663">
      <c r="W121" s="1440" t="inlineStr">
        <is>
          <t>These figures needed for worksheet calcs… do not disturb!</t>
        </is>
      </c>
      <c r="X121" s="1074" t="n"/>
      <c r="Y121" s="1074" t="n"/>
      <c r="Z121" s="1074" t="n"/>
      <c r="AA121" s="1074" t="n"/>
      <c r="AB121" s="1074" t="n"/>
      <c r="AC121" s="1074" t="n"/>
      <c r="AD121" s="1074" t="n"/>
      <c r="AE121" s="1075" t="n"/>
      <c r="AF121" s="532" t="n"/>
      <c r="AG121" s="532" t="n"/>
      <c r="AH121" s="532" t="n"/>
    </row>
    <row customHeight="1" ht="13.5" r="122" s="663" thickBot="1">
      <c r="W122" s="533" t="n"/>
      <c r="X122" s="1065" t="n"/>
      <c r="AD122" s="532" t="n"/>
      <c r="AE122" s="1065" t="n"/>
      <c r="AF122" s="1065" t="n"/>
      <c r="AG122" s="1065" t="n"/>
    </row>
    <row customHeight="1" ht="13.5" r="123" s="663" thickBot="1">
      <c r="W123" s="1065" t="n"/>
      <c r="X123" s="1065" t="n"/>
      <c r="AB123" s="1441" t="inlineStr">
        <is>
          <t>2015 Age Grade Factors</t>
        </is>
      </c>
      <c r="AC123" s="712" t="n"/>
      <c r="AD123" s="1077" t="n"/>
      <c r="AE123" s="585" t="n"/>
    </row>
    <row customHeight="1" ht="13.5" r="124" s="663" thickBot="1">
      <c r="W124" s="535" t="inlineStr">
        <is>
          <t>% VDOT</t>
        </is>
      </c>
      <c r="X124" s="535" t="inlineStr">
        <is>
          <t>% of HRMax</t>
        </is>
      </c>
      <c r="Y124" s="535" t="inlineStr">
        <is>
          <t>Point Value</t>
        </is>
      </c>
      <c r="Z124" s="650" t="inlineStr">
        <is>
          <t>5k</t>
        </is>
      </c>
      <c r="AA124" s="1065" t="n"/>
      <c r="AB124" s="536" t="inlineStr">
        <is>
          <t>Age</t>
        </is>
      </c>
      <c r="AC124" s="536" t="inlineStr">
        <is>
          <t>FactorM</t>
        </is>
      </c>
      <c r="AD124" s="536" t="inlineStr">
        <is>
          <t>FactorF</t>
        </is>
      </c>
      <c r="AE124" s="537" t="inlineStr">
        <is>
          <t>MtoF_Fact</t>
        </is>
      </c>
    </row>
    <row customHeight="1" ht="13.5" r="125" s="663">
      <c r="W125" s="1442" t="n">
        <v>0.5</v>
      </c>
      <c r="X125" s="1442" t="n">
        <v>0.5600000000000001</v>
      </c>
      <c r="Y125" s="1443" t="n">
        <v>0.1</v>
      </c>
      <c r="Z125" s="651" t="inlineStr">
        <is>
          <t>8k</t>
        </is>
      </c>
      <c r="AA125" s="1065" t="n"/>
      <c r="AB125" s="540" t="n">
        <v>5</v>
      </c>
      <c r="AC125" s="540" t="n">
        <v>0.60564</v>
      </c>
      <c r="AD125" s="540" t="n">
        <v>0.6695999999999999</v>
      </c>
      <c r="AE125" s="540" t="n">
        <v>0.9611233638273716</v>
      </c>
    </row>
    <row customHeight="1" ht="13.5" r="126" s="663">
      <c r="W126" s="1444" t="n">
        <v>0.59</v>
      </c>
      <c r="X126" s="1444" t="n">
        <v>0.65</v>
      </c>
      <c r="Y126" s="1445" t="n">
        <v>0.1</v>
      </c>
      <c r="Z126" s="651" t="inlineStr">
        <is>
          <t>10k</t>
        </is>
      </c>
      <c r="AA126" s="1065" t="n"/>
      <c r="AB126" s="547">
        <f>+AB125+1</f>
        <v/>
      </c>
      <c r="AC126" s="547" t="n">
        <v>0.6596399999999999</v>
      </c>
      <c r="AD126" s="547" t="n">
        <v>0.7060466666666667</v>
      </c>
      <c r="AE126" s="547" t="n">
        <v>1.044234076727361</v>
      </c>
    </row>
    <row customHeight="1" ht="13.5" r="127" s="663">
      <c r="W127" s="1444" t="n">
        <v>0.595</v>
      </c>
      <c r="X127" s="1444" t="n">
        <v>0.655</v>
      </c>
      <c r="Y127" s="1445">
        <f>(Y125+Y128)/2</f>
        <v/>
      </c>
      <c r="Z127" s="651" t="inlineStr">
        <is>
          <t>12k</t>
        </is>
      </c>
      <c r="AA127" s="1065" t="n"/>
      <c r="AB127" s="547">
        <f>+AB126+1</f>
        <v/>
      </c>
      <c r="AC127" s="547" t="n">
        <v>0.70964</v>
      </c>
      <c r="AD127" s="547" t="n">
        <v>0.7404799999999999</v>
      </c>
      <c r="AE127" s="547" t="n">
        <v>1.069863453569627</v>
      </c>
    </row>
    <row customHeight="1" ht="13.5" r="128" s="663">
      <c r="W128" s="1444" t="n">
        <v>0.6</v>
      </c>
      <c r="X128" s="1444" t="n">
        <v>0.66</v>
      </c>
      <c r="Y128" s="1446" t="n">
        <v>0.11</v>
      </c>
      <c r="Z128" s="651" t="inlineStr">
        <is>
          <t>15k</t>
        </is>
      </c>
      <c r="AA128" s="1065" t="n"/>
      <c r="AB128" s="547">
        <f>+AB127+1</f>
        <v/>
      </c>
      <c r="AC128" s="547" t="n">
        <v>0.75564</v>
      </c>
      <c r="AD128" s="547" t="n">
        <v>0.77284</v>
      </c>
      <c r="AE128" s="547" t="n">
        <v>1.090515346413742</v>
      </c>
    </row>
    <row customHeight="1" ht="13.5" r="129" s="663">
      <c r="W129" s="1444" t="n">
        <v>0.605</v>
      </c>
      <c r="X129" s="1444" t="n">
        <v>0.665</v>
      </c>
      <c r="Y129" s="1446">
        <f>(Y128+Y130)/2</f>
        <v/>
      </c>
      <c r="Z129" s="651" t="inlineStr">
        <is>
          <t>1/2 Mar</t>
        </is>
      </c>
      <c r="AA129" s="1065" t="n"/>
      <c r="AB129" s="547">
        <f>+AB128+1</f>
        <v/>
      </c>
      <c r="AC129" s="547" t="n">
        <v>0.7976399999999998</v>
      </c>
      <c r="AD129" s="547" t="n">
        <v>0.8031866666666668</v>
      </c>
      <c r="AE129" s="547" t="n">
        <v>1.106783768454703</v>
      </c>
    </row>
    <row customHeight="1" ht="13.5" r="130" s="663">
      <c r="W130" s="1444" t="n">
        <v>0.61</v>
      </c>
      <c r="X130" s="1444" t="n">
        <v>0.67</v>
      </c>
      <c r="Y130" s="1446" t="n">
        <v>0.122</v>
      </c>
      <c r="Z130" s="651" t="inlineStr">
        <is>
          <t>Marathon</t>
        </is>
      </c>
      <c r="AA130" s="1065" t="n"/>
      <c r="AB130" s="547">
        <f>+AB129+1</f>
        <v/>
      </c>
      <c r="AC130" s="547" t="n">
        <v>0.8356399999999999</v>
      </c>
      <c r="AD130" s="547" t="n">
        <v>0.8315800000000002</v>
      </c>
      <c r="AE130" s="547" t="n">
        <v>1.11937046440855</v>
      </c>
    </row>
    <row customHeight="1" ht="13.5" r="131" s="663">
      <c r="W131" s="1444" t="n">
        <v>0.615</v>
      </c>
      <c r="X131" s="1444" t="n">
        <v>0.675</v>
      </c>
      <c r="Y131" s="1446">
        <f>(Y130+Y132)/2</f>
        <v/>
      </c>
      <c r="Z131" s="651" t="inlineStr">
        <is>
          <t>Custom</t>
        </is>
      </c>
      <c r="AA131" s="1065" t="n"/>
      <c r="AB131" s="547">
        <f>+AB130+1</f>
        <v/>
      </c>
      <c r="AC131" s="547" t="n">
        <v>0.8696400000000001</v>
      </c>
      <c r="AD131" s="547" t="n">
        <v>0.8578399999999999</v>
      </c>
      <c r="AE131" s="547" t="n">
        <v>1.128684669152784</v>
      </c>
    </row>
    <row customHeight="1" ht="13.5" r="132" s="663">
      <c r="W132" s="1444" t="n">
        <v>0.62</v>
      </c>
      <c r="X132" s="1444" t="n">
        <v>0.68</v>
      </c>
      <c r="Y132" s="1445" t="n">
        <v>0.135</v>
      </c>
      <c r="Z132" s="546" t="n"/>
      <c r="AA132" s="1065" t="n"/>
      <c r="AB132" s="547">
        <f>+AB131+1</f>
        <v/>
      </c>
      <c r="AC132" s="547" t="n">
        <v>0.8996399999999997</v>
      </c>
      <c r="AD132" s="547" t="n">
        <v>0.8821466666666669</v>
      </c>
      <c r="AE132" s="547" t="n">
        <v>1.135000484637007</v>
      </c>
    </row>
    <row customHeight="1" ht="13.5" r="133" s="663">
      <c r="W133" s="1444" t="n">
        <v>0.625</v>
      </c>
      <c r="X133" s="1444" t="n">
        <v>0.6850000000000001</v>
      </c>
      <c r="Y133" s="1445">
        <f>(Y132+Y134)/2</f>
        <v/>
      </c>
      <c r="Z133" s="546" t="n"/>
      <c r="AA133" s="1065" t="n"/>
      <c r="AB133" s="547">
        <f>+AB132+1</f>
        <v/>
      </c>
      <c r="AC133" s="547" t="n">
        <v>0.9256399999999998</v>
      </c>
      <c r="AD133" s="547" t="n">
        <v>0.90444</v>
      </c>
      <c r="AE133" s="547" t="n">
        <v>1.138620180704869</v>
      </c>
    </row>
    <row customHeight="1" ht="13.5" r="134" s="663">
      <c r="W134" s="1444" t="n">
        <v>0.63</v>
      </c>
      <c r="X134" s="1444" t="n">
        <v>0.6899999999999999</v>
      </c>
      <c r="Y134" s="1445" t="n">
        <v>0.15</v>
      </c>
      <c r="Z134" s="546" t="n"/>
      <c r="AB134" s="547">
        <f>+AB133+1</f>
        <v/>
      </c>
      <c r="AC134" s="547" t="n">
        <v>0.9476399999999997</v>
      </c>
      <c r="AD134" s="547" t="n">
        <v>0.9246599999999998</v>
      </c>
      <c r="AE134" s="547" t="n">
        <v>1.13991383006963</v>
      </c>
    </row>
    <row customHeight="1" ht="13.5" r="135" s="663">
      <c r="W135" s="1444" t="n">
        <v>0.635</v>
      </c>
      <c r="X135" s="1444" t="n">
        <v>0.695</v>
      </c>
      <c r="Y135" s="1445">
        <f>(Y134+Y136)/2</f>
        <v/>
      </c>
      <c r="Z135" s="546" t="n"/>
      <c r="AB135" s="547">
        <f>+AB134+1</f>
        <v/>
      </c>
      <c r="AC135" s="547" t="n">
        <v>0.9656400000000002</v>
      </c>
      <c r="AD135" s="547" t="n">
        <v>0.9428666666666667</v>
      </c>
      <c r="AE135" s="547" t="n">
        <v>1.138972118185601</v>
      </c>
    </row>
    <row customHeight="1" ht="13.5" r="136" s="663">
      <c r="W136" s="1444" t="n">
        <v>0.64</v>
      </c>
      <c r="X136" s="1444" t="n">
        <v>0.7</v>
      </c>
      <c r="Y136" s="1445" t="n">
        <v>0.167</v>
      </c>
      <c r="Z136" s="546" t="n"/>
      <c r="AB136" s="547">
        <f>+AB135+1</f>
        <v/>
      </c>
      <c r="AC136" s="547" t="n">
        <v>0.9796399999999997</v>
      </c>
      <c r="AD136" s="547" t="n">
        <v>0.9600666666666668</v>
      </c>
      <c r="AE136" s="547" t="n">
        <v>1.134573165583045</v>
      </c>
    </row>
    <row customHeight="1" ht="13.5" r="137" s="663">
      <c r="W137" s="1444" t="n">
        <v>0.645</v>
      </c>
      <c r="X137" s="1444" t="n">
        <v>0.705</v>
      </c>
      <c r="Y137" s="1445">
        <f>(Y136+Y138)/2</f>
        <v/>
      </c>
      <c r="Z137" s="546" t="n"/>
      <c r="AB137" s="547">
        <f>+AB136+1</f>
        <v/>
      </c>
      <c r="AC137" s="547" t="n">
        <v>0.9916400000000001</v>
      </c>
      <c r="AD137" s="547" t="n">
        <v>0.9772666666666668</v>
      </c>
      <c r="AE137" s="547" t="n">
        <v>1.127948717948718</v>
      </c>
      <c r="AF137" s="1065" t="n"/>
    </row>
    <row customHeight="1" ht="13.5" r="138" s="663">
      <c r="W138" s="1444" t="n">
        <v>0.65</v>
      </c>
      <c r="X138" s="1444" t="n">
        <v>0.71</v>
      </c>
      <c r="Y138" s="1445" t="n">
        <v>0.183</v>
      </c>
      <c r="Z138" s="546" t="n"/>
      <c r="AB138" s="547">
        <f>+AB137+1</f>
        <v/>
      </c>
      <c r="AC138" s="547" t="n">
        <v>0.9993199999999999</v>
      </c>
      <c r="AD138" s="547" t="n">
        <v>0.9899733333333333</v>
      </c>
      <c r="AE138" s="547" t="n">
        <v>1.122375589482978</v>
      </c>
    </row>
    <row customHeight="1" ht="13.5" r="139" s="663">
      <c r="W139" s="1444" t="n">
        <v>0.655</v>
      </c>
      <c r="X139" s="1444" t="n">
        <v>0.715</v>
      </c>
      <c r="Y139" s="1445">
        <f>(Y138+Y140)/2</f>
        <v/>
      </c>
      <c r="Z139" s="546" t="n"/>
      <c r="AB139" s="547">
        <f>+AB138+1</f>
        <v/>
      </c>
      <c r="AC139" s="547" t="n">
        <v>1</v>
      </c>
      <c r="AD139" s="547" t="n">
        <v>0.9962799999999999</v>
      </c>
      <c r="AE139" s="547" t="n">
        <v>1.116342714304185</v>
      </c>
    </row>
    <row customHeight="1" ht="13.5" r="140" s="663">
      <c r="W140" s="1444" t="n">
        <v>0.66</v>
      </c>
      <c r="X140" s="1444" t="n">
        <v>0.72</v>
      </c>
      <c r="Y140" s="1445" t="n">
        <v>0.2</v>
      </c>
      <c r="Z140" s="546" t="n"/>
      <c r="AB140" s="547">
        <f>+AB139+1</f>
        <v/>
      </c>
      <c r="AC140" s="547" t="n">
        <v>1</v>
      </c>
      <c r="AD140" s="547" t="n">
        <v>0.9989866666666667</v>
      </c>
      <c r="AE140" s="547" t="n">
        <v>1.11334741197259</v>
      </c>
    </row>
    <row customHeight="1" ht="13.5" r="141" s="663">
      <c r="W141" s="1444" t="n">
        <v>0.665</v>
      </c>
      <c r="X141" s="1444" t="n">
        <v>0.725</v>
      </c>
      <c r="Y141" s="1445">
        <f>(Y140+Y142)/2</f>
        <v/>
      </c>
      <c r="Z141" s="546" t="n"/>
      <c r="AB141" s="547">
        <f>+AB140+1</f>
        <v/>
      </c>
      <c r="AC141" s="547" t="n">
        <v>1</v>
      </c>
      <c r="AD141" s="547" t="n">
        <v>0.9997466666666668</v>
      </c>
      <c r="AE141" s="547" t="n">
        <v>1.112507003404732</v>
      </c>
    </row>
    <row customHeight="1" ht="13.5" r="142" s="663">
      <c r="W142" s="1444" t="n">
        <v>0.67</v>
      </c>
      <c r="X142" s="1444" t="n">
        <v>0.73</v>
      </c>
      <c r="Y142" s="1445" t="n">
        <v>0.217</v>
      </c>
      <c r="Z142" s="546" t="n"/>
      <c r="AB142" s="547">
        <f>+AB141+1</f>
        <v/>
      </c>
      <c r="AC142" s="547" t="n">
        <v>1</v>
      </c>
      <c r="AD142" s="547" t="n">
        <v>1</v>
      </c>
      <c r="AE142" s="547" t="n">
        <v>1.112248416153084</v>
      </c>
    </row>
    <row customHeight="1" ht="13.5" r="143" s="663">
      <c r="W143" s="1444" t="n">
        <v>0.675</v>
      </c>
      <c r="X143" s="1444" t="n">
        <v>0.735</v>
      </c>
      <c r="Y143" s="1445">
        <f>(Y142+Y144)/2</f>
        <v/>
      </c>
      <c r="Z143" s="546" t="n"/>
      <c r="AB143" s="547">
        <f>+AB142+1</f>
        <v/>
      </c>
      <c r="AC143" s="547" t="n">
        <v>1</v>
      </c>
      <c r="AD143" s="547" t="n">
        <v>1</v>
      </c>
      <c r="AE143" s="547" t="n">
        <v>1.112248416153084</v>
      </c>
    </row>
    <row customHeight="1" ht="13.5" r="144" s="663">
      <c r="W144" s="1444" t="n">
        <v>0.68</v>
      </c>
      <c r="X144" s="1444" t="n">
        <v>0.74</v>
      </c>
      <c r="Y144" s="1445" t="n">
        <v>0.233</v>
      </c>
      <c r="Z144" s="546" t="n"/>
      <c r="AB144" s="547">
        <f>+AB143+1</f>
        <v/>
      </c>
      <c r="AC144" s="547" t="n">
        <v>1</v>
      </c>
      <c r="AD144" s="547" t="n">
        <v>1</v>
      </c>
      <c r="AE144" s="547" t="n">
        <v>1.112248416153084</v>
      </c>
    </row>
    <row customHeight="1" ht="13.5" r="145" s="663">
      <c r="W145" s="1444" t="n">
        <v>0.6850000000000001</v>
      </c>
      <c r="X145" s="1444" t="n">
        <v>0.745</v>
      </c>
      <c r="Y145" s="1445">
        <f>(Y144+Y146)/2</f>
        <v/>
      </c>
      <c r="Z145" s="546" t="n"/>
      <c r="AB145" s="547">
        <f>+AB144+1</f>
        <v/>
      </c>
      <c r="AC145" s="547" t="n">
        <v>1</v>
      </c>
      <c r="AD145" s="547" t="n">
        <v>1</v>
      </c>
      <c r="AE145" s="547" t="n">
        <v>1.112248416153084</v>
      </c>
    </row>
    <row customHeight="1" ht="13.5" r="146" s="663">
      <c r="W146" s="1444" t="n">
        <v>0.6899999999999999</v>
      </c>
      <c r="X146" s="1444" t="n">
        <v>0.75</v>
      </c>
      <c r="Y146" s="1445" t="n">
        <v>0.25</v>
      </c>
      <c r="Z146" s="546" t="n"/>
      <c r="AB146" s="547">
        <f>+AB145+1</f>
        <v/>
      </c>
      <c r="AC146" s="547" t="n">
        <v>1</v>
      </c>
      <c r="AD146" s="547" t="n">
        <v>1</v>
      </c>
      <c r="AE146" s="547" t="n">
        <v>1.112248416153084</v>
      </c>
    </row>
    <row customHeight="1" ht="13.5" r="147" s="663">
      <c r="W147" s="1444" t="n">
        <v>0.7</v>
      </c>
      <c r="X147" s="1444" t="n">
        <v>0.755</v>
      </c>
      <c r="Y147" s="1445">
        <f>(Y146+Y148)/2</f>
        <v/>
      </c>
      <c r="Z147" s="546" t="n"/>
      <c r="AB147" s="547">
        <f>+AB146+1</f>
        <v/>
      </c>
      <c r="AC147" s="547" t="n">
        <v>1</v>
      </c>
      <c r="AD147" s="547" t="n">
        <v>1</v>
      </c>
      <c r="AE147" s="547" t="n">
        <v>1.112248416153084</v>
      </c>
    </row>
    <row customHeight="1" ht="13.5" r="148" s="663">
      <c r="W148" s="1444" t="n">
        <v>0.71</v>
      </c>
      <c r="X148" s="1444" t="n">
        <v>0.76</v>
      </c>
      <c r="Y148" s="1445" t="n">
        <v>0.283</v>
      </c>
      <c r="Z148" s="546" t="n"/>
      <c r="AB148" s="547">
        <f>+AB147+1</f>
        <v/>
      </c>
      <c r="AC148" s="547" t="n">
        <v>0.9999800000000001</v>
      </c>
      <c r="AD148" s="547" t="n">
        <v>1</v>
      </c>
      <c r="AE148" s="547" t="n">
        <v>1.112248416153084</v>
      </c>
    </row>
    <row customHeight="1" ht="13.5" r="149" s="663">
      <c r="W149" s="1444" t="n">
        <v>0.715</v>
      </c>
      <c r="X149" s="1444" t="n">
        <v>0.765</v>
      </c>
      <c r="Y149" s="1445">
        <f>(Y148+Y150)/2</f>
        <v/>
      </c>
      <c r="Z149" s="546" t="n"/>
      <c r="AB149" s="547">
        <f>+AB148+1</f>
        <v/>
      </c>
      <c r="AC149" s="547" t="n">
        <v>0.9998600000000001</v>
      </c>
      <c r="AD149" s="547" t="n">
        <v>1</v>
      </c>
      <c r="AE149" s="547" t="n">
        <v>1.112224448897795</v>
      </c>
    </row>
    <row customHeight="1" ht="13.5" r="150" s="663">
      <c r="W150" s="1444" t="n">
        <v>0.72</v>
      </c>
      <c r="X150" s="1444" t="n">
        <v>0.77</v>
      </c>
      <c r="Y150" s="1445" t="n">
        <v>0.3</v>
      </c>
      <c r="Z150" s="546" t="n"/>
      <c r="AB150" s="547">
        <f>+AB149+1</f>
        <v/>
      </c>
      <c r="AC150" s="547" t="n">
        <v>0.9995466666666667</v>
      </c>
      <c r="AD150" s="547" t="n">
        <v>0.9999000000000001</v>
      </c>
      <c r="AE150" s="547" t="n">
        <v>1.112188395492642</v>
      </c>
    </row>
    <row customHeight="1" ht="13.5" r="151" s="663">
      <c r="W151" s="1444" t="n">
        <v>0.725</v>
      </c>
      <c r="X151" s="1444" t="n">
        <v>0.775</v>
      </c>
      <c r="Y151" s="1445">
        <f>(Y150+Y152)/2</f>
        <v/>
      </c>
      <c r="Z151" s="546" t="n"/>
      <c r="AB151" s="547">
        <f>+AB150+1</f>
        <v/>
      </c>
      <c r="AC151" s="547" t="n">
        <v>0.9989933333333333</v>
      </c>
      <c r="AD151" s="547" t="n">
        <v>0.9995000000000004</v>
      </c>
      <c r="AE151" s="547" t="n">
        <v>1.112406023136081</v>
      </c>
    </row>
    <row customHeight="1" ht="13.5" r="152" s="663">
      <c r="W152" s="1444" t="n">
        <v>0.73</v>
      </c>
      <c r="X152" s="1444" t="n">
        <v>0.78</v>
      </c>
      <c r="Y152" s="1445" t="n">
        <v>0.317</v>
      </c>
      <c r="Z152" s="546" t="n"/>
      <c r="AB152" s="547">
        <f>+AB151+1</f>
        <v/>
      </c>
      <c r="AC152" s="547" t="n">
        <v>0.9979533333333335</v>
      </c>
      <c r="AD152" s="547" t="n">
        <v>0.9984666666666669</v>
      </c>
      <c r="AE152" s="547" t="n">
        <v>1.113036925395629</v>
      </c>
    </row>
    <row customHeight="1" ht="13.5" r="153" s="663">
      <c r="W153" s="1444" t="n">
        <v>0.735</v>
      </c>
      <c r="X153" s="1444" t="n">
        <v>0.785</v>
      </c>
      <c r="Y153" s="1445">
        <f>(Y152+Y154)/2</f>
        <v/>
      </c>
      <c r="Z153" s="546" t="n"/>
      <c r="AB153" s="547">
        <f>+AB152+1</f>
        <v/>
      </c>
      <c r="AC153" s="547" t="n">
        <v>0.9962000000000002</v>
      </c>
      <c r="AD153" s="547" t="n">
        <v>0.9969000000000001</v>
      </c>
      <c r="AE153" s="547" t="n">
        <v>1.113433541922027</v>
      </c>
    </row>
    <row customHeight="1" ht="13.5" r="154" s="663">
      <c r="W154" s="1444" t="n">
        <v>0.74</v>
      </c>
      <c r="X154" s="1444" t="n">
        <v>0.79</v>
      </c>
      <c r="Y154" s="1445" t="n">
        <v>0.333</v>
      </c>
      <c r="Z154" s="546" t="n"/>
      <c r="AB154" s="547">
        <f>+AB153+1</f>
        <v/>
      </c>
      <c r="AC154" s="547" t="n">
        <v>0.9937799999999996</v>
      </c>
      <c r="AD154" s="547" t="n">
        <v>0.9947400000000001</v>
      </c>
      <c r="AE154" s="547" t="n">
        <v>1.113817822802198</v>
      </c>
    </row>
    <row customHeight="1" ht="13.5" r="155" s="663">
      <c r="W155" s="1444" t="n">
        <v>0.745</v>
      </c>
      <c r="X155" s="1444" t="n">
        <v>0.795</v>
      </c>
      <c r="Y155" s="1445">
        <f>(Y154+Y156)/2</f>
        <v/>
      </c>
      <c r="Z155" s="546" t="n"/>
      <c r="AB155" s="547">
        <f>+AB154+1</f>
        <v/>
      </c>
      <c r="AC155" s="547" t="n">
        <v>0.9906266666666663</v>
      </c>
      <c r="AD155" s="547" t="n">
        <v>0.99204</v>
      </c>
      <c r="AE155" s="547" t="n">
        <v>1.113938952866133</v>
      </c>
    </row>
    <row customHeight="1" ht="13.5" r="156" s="663">
      <c r="W156" s="1444" t="n">
        <v>0.75</v>
      </c>
      <c r="X156" s="1444" t="n">
        <v>0.8</v>
      </c>
      <c r="Y156" s="1445" t="n">
        <v>0.35</v>
      </c>
      <c r="Z156" s="546" t="n"/>
      <c r="AB156" s="547">
        <f>+AB155+1</f>
        <v/>
      </c>
      <c r="AC156" s="547" t="n">
        <v>0.9868000000000002</v>
      </c>
      <c r="AD156" s="547" t="n">
        <v>0.9887533333333333</v>
      </c>
      <c r="AE156" s="547" t="n">
        <v>1.114076634237924</v>
      </c>
    </row>
    <row customHeight="1" ht="13.5" r="157" s="663">
      <c r="W157" s="1444" t="n">
        <v>0.755</v>
      </c>
      <c r="X157" s="1444" t="n">
        <v>0.805</v>
      </c>
      <c r="Y157" s="1445">
        <f>(Y156+Y158)/2</f>
        <v/>
      </c>
      <c r="AB157" s="547">
        <f>+AB156+1</f>
        <v/>
      </c>
      <c r="AC157" s="547" t="n">
        <v>0.9822399999999997</v>
      </c>
      <c r="AD157" s="547" t="n">
        <v>0.9848800000000001</v>
      </c>
      <c r="AE157" s="547" t="n">
        <v>1.113811638233232</v>
      </c>
    </row>
    <row customHeight="1" ht="13.5" r="158" s="663">
      <c r="W158" s="1444" t="n">
        <v>0.76</v>
      </c>
      <c r="X158" s="1444" t="n">
        <v>0.8100000000000001</v>
      </c>
      <c r="Y158" s="1445" t="n">
        <v>0.367</v>
      </c>
      <c r="AB158" s="547">
        <f>+AB157+1</f>
        <v/>
      </c>
      <c r="AC158" s="547" t="n">
        <v>0.9770066666666668</v>
      </c>
      <c r="AD158" s="547" t="n">
        <v>0.9804466666666667</v>
      </c>
      <c r="AE158" s="547" t="n">
        <v>1.113509513742072</v>
      </c>
    </row>
    <row customHeight="1" ht="13.5" r="159" s="663">
      <c r="W159" s="1444" t="n">
        <v>0.765</v>
      </c>
      <c r="X159" s="1444" t="n">
        <v>0.8149999999999999</v>
      </c>
      <c r="Y159" s="1445">
        <f>(Y158+Y160)/2</f>
        <v/>
      </c>
      <c r="AB159" s="547">
        <f>+AB158+1</f>
        <v/>
      </c>
      <c r="AC159" s="547" t="n">
        <v>0.9710933333333335</v>
      </c>
      <c r="AD159" s="547" t="n">
        <v>0.97546</v>
      </c>
      <c r="AE159" s="547" t="n">
        <v>1.112949337817952</v>
      </c>
    </row>
    <row customHeight="1" ht="13.5" r="160" s="663">
      <c r="W160" s="1444" t="n">
        <v>0.77</v>
      </c>
      <c r="X160" s="1444" t="n">
        <v>0.82</v>
      </c>
      <c r="Y160" s="1445" t="n">
        <v>0.392</v>
      </c>
      <c r="AB160" s="547">
        <f>+AB159+1</f>
        <v/>
      </c>
      <c r="AC160" s="547" t="n">
        <v>0.9646666666666667</v>
      </c>
      <c r="AD160" s="547" t="n">
        <v>0.9698866666666665</v>
      </c>
      <c r="AE160" s="547" t="n">
        <v>1.112468926907731</v>
      </c>
    </row>
    <row customHeight="1" ht="13.5" r="161" s="663">
      <c r="W161" s="1444" t="n">
        <v>0.775</v>
      </c>
      <c r="X161" s="1444" t="n">
        <v>0.825</v>
      </c>
      <c r="Y161" s="1445">
        <f>(Y160+Y162)/2</f>
        <v/>
      </c>
      <c r="AB161" s="547">
        <f>+AB160+1</f>
        <v/>
      </c>
      <c r="AC161" s="547" t="n">
        <v>0.9577266666666665</v>
      </c>
      <c r="AD161" s="547" t="n">
        <v>0.9637266666666667</v>
      </c>
      <c r="AE161" s="547" t="n">
        <v>1.111883180187094</v>
      </c>
    </row>
    <row customHeight="1" ht="13.5" r="162" s="663">
      <c r="W162" s="1444" t="n">
        <v>0.78</v>
      </c>
      <c r="X162" s="1444" t="n">
        <v>0.83</v>
      </c>
      <c r="Y162" s="1445" t="n">
        <v>0.417</v>
      </c>
      <c r="AB162" s="547">
        <f>+AB161+1</f>
        <v/>
      </c>
      <c r="AC162" s="547" t="n">
        <v>0.9504066666666663</v>
      </c>
      <c r="AD162" s="547" t="n">
        <v>0.9570200000000001</v>
      </c>
      <c r="AE162" s="547" t="n">
        <v>1.111296364908814</v>
      </c>
    </row>
    <row customHeight="1" ht="13.5" r="163" s="663">
      <c r="W163" s="1444" t="n">
        <v>0.785</v>
      </c>
      <c r="X163" s="1444" t="n">
        <v>0.835</v>
      </c>
      <c r="Y163" s="1445">
        <f>(Y162+Y164)/2</f>
        <v/>
      </c>
      <c r="AB163" s="547">
        <f>+AB162+1</f>
        <v/>
      </c>
      <c r="AC163" s="547" t="n">
        <v>0.9429399999999998</v>
      </c>
      <c r="AD163" s="547" t="n">
        <v>0.9497066666666666</v>
      </c>
      <c r="AE163" s="547" t="n">
        <v>1.111054393988892</v>
      </c>
    </row>
    <row customHeight="1" ht="13.5" r="164" s="663">
      <c r="W164" s="1444" t="n">
        <v>0.79</v>
      </c>
      <c r="X164" s="1444" t="n">
        <v>0.84</v>
      </c>
      <c r="Y164" s="1445" t="n">
        <v>0.442</v>
      </c>
      <c r="AB164" s="547">
        <f>+AB163+1</f>
        <v/>
      </c>
      <c r="AC164" s="547" t="n">
        <v>0.9354666666666667</v>
      </c>
      <c r="AD164" s="547" t="n">
        <v>0.9418399999999998</v>
      </c>
      <c r="AE164" s="547" t="n">
        <v>1.111453164556962</v>
      </c>
    </row>
    <row customHeight="1" ht="13.5" r="165" s="663">
      <c r="W165" s="1444" t="n">
        <v>0.795</v>
      </c>
      <c r="X165" s="1444" t="n">
        <v>0.845</v>
      </c>
      <c r="Y165" s="1445">
        <f>(Y164+Y166)/2</f>
        <v/>
      </c>
      <c r="AB165" s="547">
        <f>+AB164+1</f>
        <v/>
      </c>
      <c r="AC165" s="547" t="n">
        <v>0.9279933333333336</v>
      </c>
      <c r="AD165" s="547" t="n">
        <v>0.9334333333333331</v>
      </c>
      <c r="AE165" s="547" t="n">
        <v>1.112543938937431</v>
      </c>
    </row>
    <row customHeight="1" ht="13.5" r="166" s="663">
      <c r="W166" s="1444" t="n">
        <v>0.8</v>
      </c>
      <c r="X166" s="1444" t="n">
        <v>0.85</v>
      </c>
      <c r="Y166" s="1445" t="n">
        <v>0.467</v>
      </c>
      <c r="AB166" s="547">
        <f>+AB165+1</f>
        <v/>
      </c>
      <c r="AC166" s="547" t="n">
        <v>0.9205266666666669</v>
      </c>
      <c r="AD166" s="547" t="n">
        <v>0.9244066666666665</v>
      </c>
      <c r="AE166" s="547" t="n">
        <v>1.114475833764992</v>
      </c>
    </row>
    <row customHeight="1" ht="13.5" r="167" s="663">
      <c r="W167" s="1444" t="n">
        <v>0.805</v>
      </c>
      <c r="X167" s="1444" t="n">
        <v>0.855</v>
      </c>
      <c r="Y167" s="1445">
        <f>(Y166+Y168)/2</f>
        <v/>
      </c>
      <c r="AB167" s="547">
        <f>+AB166+1</f>
        <v/>
      </c>
      <c r="AC167" s="547" t="n">
        <v>0.9130599999999999</v>
      </c>
      <c r="AD167" s="547" t="n">
        <v>0.9148333333333334</v>
      </c>
      <c r="AE167" s="547" t="n">
        <v>1.11708454349673</v>
      </c>
    </row>
    <row customHeight="1" ht="13.5" r="168" s="663">
      <c r="W168" s="1444" t="n">
        <v>0.8100000000000001</v>
      </c>
      <c r="X168" s="1444" t="n">
        <v>0.86</v>
      </c>
      <c r="Y168" s="1445" t="n">
        <v>0.492</v>
      </c>
      <c r="AB168" s="547">
        <f>+AB167+1</f>
        <v/>
      </c>
      <c r="AC168" s="547" t="n">
        <v>0.9055866666666665</v>
      </c>
      <c r="AD168" s="547" t="n">
        <v>0.9047066666666667</v>
      </c>
      <c r="AE168" s="547" t="n">
        <v>1.120456905503634</v>
      </c>
    </row>
    <row customHeight="1" ht="13.5" r="169" s="663">
      <c r="W169" s="1444" t="n">
        <v>0.8149999999999999</v>
      </c>
      <c r="X169" s="1444" t="n">
        <v>0.865</v>
      </c>
      <c r="Y169" s="1445">
        <f>(Y168+Y170)/2</f>
        <v/>
      </c>
      <c r="AB169" s="547">
        <f>+AB168+1</f>
        <v/>
      </c>
      <c r="AC169" s="547" t="n">
        <v>0.8981</v>
      </c>
      <c r="AD169" s="547" t="n">
        <v>0.8942799999999999</v>
      </c>
      <c r="AE169" s="547" t="n">
        <v>1.124283577159954</v>
      </c>
    </row>
    <row customHeight="1" ht="13.5" r="170" s="663">
      <c r="W170" s="1444" t="n">
        <v>0.82</v>
      </c>
      <c r="X170" s="1444" t="n">
        <v>0.87</v>
      </c>
      <c r="Y170" s="1445" t="n">
        <v>0.517</v>
      </c>
      <c r="AB170" s="547">
        <f>+AB169+1</f>
        <v/>
      </c>
      <c r="AC170" s="547" t="n">
        <v>0.890626666666667</v>
      </c>
      <c r="AD170" s="547" t="n">
        <v>0.8838333333333332</v>
      </c>
      <c r="AE170" s="547" t="n">
        <v>1.128171048829818</v>
      </c>
    </row>
    <row customHeight="1" ht="13.5" r="171" s="663">
      <c r="W171" s="1444" t="n">
        <v>0.825</v>
      </c>
      <c r="X171" s="1444" t="n">
        <v>0.875</v>
      </c>
      <c r="Y171" s="1445">
        <f>(Y170+Y172)/2</f>
        <v/>
      </c>
      <c r="AB171" s="547">
        <f>+AB170+1</f>
        <v/>
      </c>
      <c r="AC171" s="547" t="n">
        <v>0.8831800000000004</v>
      </c>
      <c r="AD171" s="547" t="n">
        <v>0.8734133333333335</v>
      </c>
      <c r="AE171" s="547" t="n">
        <v>1.132249871092183</v>
      </c>
    </row>
    <row customHeight="1" ht="13.5" r="172" s="663">
      <c r="W172" s="1444" t="n">
        <v>0.83</v>
      </c>
      <c r="X172" s="1444" t="n">
        <v>0.88</v>
      </c>
      <c r="Y172" s="1445" t="n">
        <v>0.55</v>
      </c>
      <c r="AB172" s="547">
        <f>+AB171+1</f>
        <v/>
      </c>
      <c r="AC172" s="547" t="n">
        <v>0.8757066666666664</v>
      </c>
      <c r="AD172" s="547" t="n">
        <v>0.8629733333333331</v>
      </c>
      <c r="AE172" s="547" t="n">
        <v>1.136411829300617</v>
      </c>
    </row>
    <row customHeight="1" ht="13.5" r="173" s="663">
      <c r="W173" s="1444" t="n">
        <v>0.835</v>
      </c>
      <c r="X173" s="1444" t="n">
        <v>0.885</v>
      </c>
      <c r="Y173" s="1445">
        <f>(Y172+Y174)/2</f>
        <v/>
      </c>
      <c r="AB173" s="547">
        <f>+AB172+1</f>
        <v/>
      </c>
      <c r="AC173" s="547" t="n">
        <v>0.8682266666666666</v>
      </c>
      <c r="AD173" s="547" t="n">
        <v>0.8525400000000001</v>
      </c>
      <c r="AE173" s="547" t="n">
        <v>1.14058365393638</v>
      </c>
    </row>
    <row customHeight="1" ht="13.5" r="174" s="663">
      <c r="W174" s="1444" t="n">
        <v>0.84</v>
      </c>
      <c r="X174" s="1444" t="n">
        <v>0.89</v>
      </c>
      <c r="Y174" s="1445" t="n">
        <v>0.583</v>
      </c>
      <c r="AB174" s="547">
        <f>+AB173+1</f>
        <v/>
      </c>
      <c r="AC174" s="547" t="n">
        <v>0.8607533333333334</v>
      </c>
      <c r="AD174" s="547" t="n">
        <v>0.8421000000000001</v>
      </c>
      <c r="AE174" s="547" t="n">
        <v>1.144948564838068</v>
      </c>
    </row>
    <row customHeight="1" ht="13.5" r="175" s="663">
      <c r="W175" s="1444" t="n">
        <v>0.85</v>
      </c>
      <c r="X175" s="1444" t="n">
        <v>0.895</v>
      </c>
      <c r="Y175" s="1445">
        <f>(Y174+Y176)/2</f>
        <v/>
      </c>
      <c r="AB175" s="547">
        <f>+AB174+1</f>
        <v/>
      </c>
      <c r="AC175" s="547" t="n">
        <v>0.8532733333333337</v>
      </c>
      <c r="AD175" s="547" t="n">
        <v>0.8316733333333334</v>
      </c>
      <c r="AE175" s="547" t="n">
        <v>1.149373156342183</v>
      </c>
    </row>
    <row customHeight="1" ht="13.5" r="176" s="663">
      <c r="W176" s="1444" t="n">
        <v>0.86</v>
      </c>
      <c r="X176" s="1444" t="n">
        <v>0.9</v>
      </c>
      <c r="Y176" s="1445" t="n">
        <v>0.617</v>
      </c>
      <c r="AB176" s="547">
        <f>+AB175+1</f>
        <v/>
      </c>
      <c r="AC176" s="547" t="n">
        <v>0.8458266666666669</v>
      </c>
      <c r="AD176" s="547" t="n">
        <v>0.8212333333333333</v>
      </c>
      <c r="AE176" s="547" t="n">
        <v>1.154000767445685</v>
      </c>
    </row>
    <row customHeight="1" ht="13.5" r="177" s="663">
      <c r="W177" s="1444" t="n">
        <v>0.865</v>
      </c>
      <c r="X177" s="1444" t="n">
        <v>0.905</v>
      </c>
      <c r="Y177" s="1445">
        <f>(Y176+Y178)/2</f>
        <v/>
      </c>
      <c r="AB177" s="547">
        <f>+AB176+1</f>
        <v/>
      </c>
      <c r="AC177" s="547" t="n">
        <v>0.8383533333333333</v>
      </c>
      <c r="AD177" s="547" t="n">
        <v>0.8108133333333333</v>
      </c>
      <c r="AE177" s="547" t="n">
        <v>1.158750565866908</v>
      </c>
    </row>
    <row customHeight="1" ht="13.5" r="178" s="663">
      <c r="W178" s="1444" t="n">
        <v>0.87</v>
      </c>
      <c r="X178" s="1444" t="n">
        <v>0.91</v>
      </c>
      <c r="Y178" s="1445" t="n">
        <v>0.65</v>
      </c>
      <c r="AB178" s="547">
        <f>+AB177+1</f>
        <v/>
      </c>
      <c r="AC178" s="547" t="n">
        <v>0.83088</v>
      </c>
      <c r="AD178" s="547" t="n">
        <v>0.8003733333333334</v>
      </c>
      <c r="AE178" s="547" t="n">
        <v>1.163505876020454</v>
      </c>
    </row>
    <row customHeight="1" ht="13.5" r="179" s="663">
      <c r="W179" s="1444" t="n">
        <v>0.875</v>
      </c>
      <c r="X179" s="1444" t="n">
        <v>0.915</v>
      </c>
      <c r="Y179" s="1445">
        <f>(Y178+Y180)/2</f>
        <v/>
      </c>
      <c r="AB179" s="547">
        <f>+AB178+1</f>
        <v/>
      </c>
      <c r="AC179" s="547" t="n">
        <v>0.8234066666666667</v>
      </c>
      <c r="AD179" s="547" t="n">
        <v>0.7899399999999999</v>
      </c>
      <c r="AE179" s="547" t="n">
        <v>1.168453238049526</v>
      </c>
    </row>
    <row customHeight="1" ht="13.5" r="180" s="663">
      <c r="W180" s="1444" t="n">
        <v>0.88</v>
      </c>
      <c r="X180" s="1444" t="n">
        <v>0.92</v>
      </c>
      <c r="Y180" s="1445" t="n">
        <v>0.6830000000000001</v>
      </c>
      <c r="AB180" s="547">
        <f>+AB179+1</f>
        <v/>
      </c>
      <c r="AC180" s="547" t="n">
        <v>0.8159200000000002</v>
      </c>
      <c r="AD180" s="547" t="n">
        <v>0.7795066666666667</v>
      </c>
      <c r="AE180" s="547" t="n">
        <v>1.173464356156664</v>
      </c>
    </row>
    <row customHeight="1" ht="13.5" r="181" s="663">
      <c r="W181" s="1444" t="n">
        <v>0.89</v>
      </c>
      <c r="X181" s="1444" t="n">
        <v>0.925</v>
      </c>
      <c r="Y181" s="1445">
        <f>(Y180+Y182)/2</f>
        <v/>
      </c>
      <c r="AB181" s="547">
        <f>+AB180+1</f>
        <v/>
      </c>
      <c r="AC181" s="547" t="n">
        <v>0.8084800000000004</v>
      </c>
      <c r="AD181" s="547" t="n">
        <v>0.7690799999999999</v>
      </c>
      <c r="AE181" s="547" t="n">
        <v>1.178836255779464</v>
      </c>
    </row>
    <row customHeight="1" ht="13.5" r="182" s="663">
      <c r="W182" s="1444" t="n">
        <v>0.9</v>
      </c>
      <c r="X182" s="1444" t="n">
        <v>0.93</v>
      </c>
      <c r="Y182" s="1445" t="n">
        <v>0.723</v>
      </c>
      <c r="AB182" s="547">
        <f>+AB181+1</f>
        <v/>
      </c>
      <c r="AC182" s="547" t="n">
        <v>0.8010133333333331</v>
      </c>
      <c r="AD182" s="547" t="n">
        <v>0.7586466666666667</v>
      </c>
      <c r="AE182" s="547" t="n">
        <v>1.184207797594359</v>
      </c>
    </row>
    <row customHeight="1" ht="13.5" r="183" s="663">
      <c r="W183" s="1444" t="n">
        <v>0.905</v>
      </c>
      <c r="X183" s="1444" t="n">
        <v>0.9350000000000001</v>
      </c>
      <c r="Y183" s="1445">
        <f>(Y182+Y184)/2</f>
        <v/>
      </c>
      <c r="AB183" s="547">
        <f>+AB182+1</f>
        <v/>
      </c>
      <c r="AC183" s="547" t="n">
        <v>0.7935199999999999</v>
      </c>
      <c r="AD183" s="547" t="n">
        <v>0.7482066666666666</v>
      </c>
      <c r="AE183" s="547" t="n">
        <v>1.189757283215227</v>
      </c>
    </row>
    <row customHeight="1" ht="13.5" r="184" s="663">
      <c r="W184" s="1444" t="n">
        <v>0.91</v>
      </c>
      <c r="X184" s="1444" t="n">
        <v>0.9399999999999999</v>
      </c>
      <c r="Y184" s="1445" t="n">
        <v>0.763</v>
      </c>
      <c r="AB184" s="547">
        <f>+AB183+1</f>
        <v/>
      </c>
      <c r="AC184" s="547" t="n">
        <v>0.7860600000000001</v>
      </c>
      <c r="AD184" s="547" t="n">
        <v>0.7377800000000002</v>
      </c>
      <c r="AE184" s="547" t="n">
        <v>1.195399376186602</v>
      </c>
    </row>
    <row r="185">
      <c r="W185" s="1444" t="n">
        <v>0.915</v>
      </c>
      <c r="X185" s="1444" t="n">
        <v>0.945</v>
      </c>
      <c r="Y185" s="1445">
        <f>(Y184+Y186)/2</f>
        <v/>
      </c>
      <c r="AB185" s="547">
        <f>+AB184+1</f>
        <v/>
      </c>
      <c r="AC185" s="547" t="n">
        <v>0.7785733333333336</v>
      </c>
      <c r="AD185" s="547" t="n">
        <v>0.7273400000000001</v>
      </c>
      <c r="AE185" s="547" t="n">
        <v>1.201269052575035</v>
      </c>
    </row>
    <row r="186">
      <c r="W186" s="1444" t="n">
        <v>0.92</v>
      </c>
      <c r="X186" s="1444" t="n">
        <v>0.95</v>
      </c>
      <c r="Y186" s="1445" t="n">
        <v>0.8</v>
      </c>
      <c r="AB186" s="547">
        <f>+AB185+1</f>
        <v/>
      </c>
      <c r="AC186" s="547" t="n">
        <v>0.7711199999999998</v>
      </c>
      <c r="AD186" s="547" t="n">
        <v>0.7169133333333332</v>
      </c>
      <c r="AE186" s="547" t="n">
        <v>1.20735335671426</v>
      </c>
    </row>
    <row r="187">
      <c r="W187" s="1444" t="n">
        <v>0.925</v>
      </c>
      <c r="X187" s="1444" t="n">
        <v>0.955</v>
      </c>
      <c r="Y187" s="1445">
        <f>(Y186+Y188)/2</f>
        <v/>
      </c>
      <c r="AB187" s="547">
        <f>+AB186+1</f>
        <v/>
      </c>
      <c r="AC187" s="547" t="n">
        <v>0.76364</v>
      </c>
      <c r="AD187" s="547" t="n">
        <v>0.7064733333333335</v>
      </c>
      <c r="AE187" s="547" t="n">
        <v>1.213553408922606</v>
      </c>
    </row>
    <row r="188">
      <c r="W188" s="1444" t="n">
        <v>0.93</v>
      </c>
      <c r="X188" s="1444" t="n">
        <v>0.96</v>
      </c>
      <c r="Y188" s="1445" t="n">
        <v>0.84</v>
      </c>
      <c r="AB188" s="547">
        <f>+AB187+1</f>
        <v/>
      </c>
      <c r="AC188" s="547" t="n">
        <v>0.7561466666666666</v>
      </c>
      <c r="AD188" s="547" t="n">
        <v>0.6960466666666665</v>
      </c>
      <c r="AE188" s="547" t="n">
        <v>1.219930599677435</v>
      </c>
    </row>
    <row r="189">
      <c r="W189" s="1444" t="n">
        <v>0.9350000000000001</v>
      </c>
      <c r="X189" s="1444" t="n">
        <v>0.965</v>
      </c>
      <c r="Y189" s="1445">
        <f>(Y188+Y190)/2</f>
        <v/>
      </c>
      <c r="AB189" s="547">
        <f>+AB188+1</f>
        <v/>
      </c>
      <c r="AC189" s="547" t="n">
        <v>0.74848</v>
      </c>
      <c r="AD189" s="547" t="n">
        <v>0.6856066666666667</v>
      </c>
      <c r="AE189" s="547" t="n">
        <v>1.226534659851331</v>
      </c>
    </row>
    <row r="190">
      <c r="W190" s="1444" t="n">
        <v>0.9399999999999999</v>
      </c>
      <c r="X190" s="1444" t="n">
        <v>0.97</v>
      </c>
      <c r="Y190" s="1445" t="n">
        <v>0.883</v>
      </c>
      <c r="AB190" s="547">
        <f>+AB189+1</f>
        <v/>
      </c>
      <c r="AC190" s="547" t="n">
        <v>0.7405400000000003</v>
      </c>
      <c r="AD190" s="547" t="n">
        <v>0.6751799999999998</v>
      </c>
      <c r="AE190" s="547" t="n">
        <v>1.232975939753654</v>
      </c>
    </row>
    <row r="191">
      <c r="W191" s="1444" t="n">
        <v>0.95</v>
      </c>
      <c r="X191" s="1444" t="n">
        <v>0.975</v>
      </c>
      <c r="Y191" s="1445">
        <f>(Y190+Y192)/2</f>
        <v/>
      </c>
      <c r="AB191" s="547">
        <f>+AB190+1</f>
        <v/>
      </c>
      <c r="AC191" s="547" t="n">
        <v>0.7320999999999999</v>
      </c>
      <c r="AD191" s="547" t="n">
        <v>0.6647466666666667</v>
      </c>
      <c r="AE191" s="547" t="n">
        <v>1.239077957116486</v>
      </c>
    </row>
    <row r="192">
      <c r="W192" s="1444" t="n">
        <v>0.96</v>
      </c>
      <c r="X192" s="1444" t="n">
        <v>0.98</v>
      </c>
      <c r="Y192" s="1445" t="n">
        <v>0.917</v>
      </c>
      <c r="AB192" s="547">
        <f>+AB191+1</f>
        <v/>
      </c>
      <c r="AC192" s="547" t="n">
        <v>0.7229866666666666</v>
      </c>
      <c r="AD192" s="547" t="n">
        <v>0.6543133333333332</v>
      </c>
      <c r="AE192" s="547" t="n">
        <v>1.244167380970934</v>
      </c>
    </row>
    <row r="193">
      <c r="W193" s="1444" t="n">
        <v>0.97</v>
      </c>
      <c r="X193" s="1444" t="n">
        <v>0.985</v>
      </c>
      <c r="Y193" s="1445">
        <f>(Y192+Y194)/2</f>
        <v/>
      </c>
      <c r="AB193" s="547">
        <f>+AB192+1</f>
        <v/>
      </c>
      <c r="AC193" s="547" t="n">
        <v>0.7131533333333334</v>
      </c>
      <c r="AD193" s="547" t="n">
        <v>0.6438733333333334</v>
      </c>
      <c r="AE193" s="547" t="n">
        <v>1.248070358867124</v>
      </c>
    </row>
    <row r="194">
      <c r="W194" s="1444" t="n">
        <v>0.98</v>
      </c>
      <c r="X194" s="1444" t="n">
        <v>0.99</v>
      </c>
      <c r="Y194" s="1445" t="n">
        <v>0.96</v>
      </c>
      <c r="AB194" s="547">
        <f>+AB193+1</f>
        <v/>
      </c>
      <c r="AC194" s="547" t="n">
        <v>0.7026733333333333</v>
      </c>
      <c r="AD194" s="547" t="n">
        <v>0.6334400000000001</v>
      </c>
      <c r="AE194" s="547" t="n">
        <v>1.251000121226816</v>
      </c>
    </row>
    <row r="195">
      <c r="W195" s="1444" t="n">
        <v>0.99</v>
      </c>
      <c r="X195" s="1444" t="n">
        <v>0.995</v>
      </c>
      <c r="Y195" s="1445">
        <f>(Y194+Y196)/2</f>
        <v/>
      </c>
      <c r="AB195" s="547">
        <f>+AB194+1</f>
        <v/>
      </c>
      <c r="AC195" s="547" t="n">
        <v>0.6915466666666666</v>
      </c>
      <c r="AD195" s="547" t="n">
        <v>0.6229533333333334</v>
      </c>
      <c r="AE195" s="547" t="n">
        <v>1.253106215413988</v>
      </c>
    </row>
    <row r="196">
      <c r="W196" s="1444" t="n">
        <v>1</v>
      </c>
      <c r="X196" s="1444" t="n">
        <v>1</v>
      </c>
      <c r="Y196" s="1445" t="n">
        <v>1</v>
      </c>
      <c r="AB196" s="547">
        <f>+AB195+1</f>
        <v/>
      </c>
      <c r="AC196" s="547" t="n">
        <v>0.6797266666666668</v>
      </c>
      <c r="AD196" s="547" t="n">
        <v>0.6122200000000001</v>
      </c>
      <c r="AE196" s="547" t="n">
        <v>1.255051764084817</v>
      </c>
    </row>
    <row r="197">
      <c r="W197" s="1444" t="n">
        <v>1.025</v>
      </c>
      <c r="X197" s="1444" t="n">
        <v>1</v>
      </c>
      <c r="Y197" s="1445">
        <f>(Y196+Y198)/2</f>
        <v/>
      </c>
      <c r="AB197" s="547">
        <f>+AB196+1</f>
        <v/>
      </c>
      <c r="AC197" s="547" t="n">
        <v>0.6672200000000003</v>
      </c>
      <c r="AD197" s="547" t="n">
        <v>0.6011333333333334</v>
      </c>
      <c r="AE197" s="547" t="n">
        <v>1.256881262236554</v>
      </c>
    </row>
    <row r="198">
      <c r="W198" s="1444" t="n">
        <v>1.05</v>
      </c>
      <c r="X198" s="1444" t="n">
        <v>1</v>
      </c>
      <c r="Y198" s="1445" t="n">
        <v>1.25</v>
      </c>
      <c r="AB198" s="547">
        <f>+AB197+1</f>
        <v/>
      </c>
      <c r="AC198" s="547" t="n">
        <v>0.6540600000000001</v>
      </c>
      <c r="AD198" s="547" t="n">
        <v>0.5896333333333335</v>
      </c>
      <c r="AE198" s="547" t="n">
        <v>1.258965999068468</v>
      </c>
    </row>
    <row r="199">
      <c r="W199" s="1444" t="n">
        <v>1.075</v>
      </c>
      <c r="X199" s="1444" t="n">
        <v>1</v>
      </c>
      <c r="Y199" s="1445">
        <f>(Y198+Y200)/2</f>
        <v/>
      </c>
      <c r="AB199" s="547">
        <f>+AB198+1</f>
        <v/>
      </c>
      <c r="AC199" s="547" t="n">
        <v>0.64022</v>
      </c>
      <c r="AD199" s="547" t="n">
        <v>0.57756</v>
      </c>
      <c r="AE199" s="547" t="n">
        <v>1.261364578439771</v>
      </c>
    </row>
    <row r="200">
      <c r="W200" s="1444" t="n">
        <v>1.1</v>
      </c>
      <c r="X200" s="1444" t="n">
        <v>1</v>
      </c>
      <c r="Y200" s="1445" t="n">
        <v>1.5</v>
      </c>
      <c r="AB200" s="547">
        <f>+AB199+1</f>
        <v/>
      </c>
      <c r="AC200" s="547" t="n">
        <v>0.6256933333333335</v>
      </c>
      <c r="AD200" s="547" t="n">
        <v>0.5646</v>
      </c>
      <c r="AE200" s="547" t="n">
        <v>1.264409572169404</v>
      </c>
    </row>
    <row r="201">
      <c r="W201" s="1444" t="n">
        <v>1.125</v>
      </c>
      <c r="X201" s="1444" t="n">
        <v>1</v>
      </c>
      <c r="Y201" s="1445">
        <f>(Y200+Y202)/2</f>
        <v/>
      </c>
      <c r="AB201" s="547">
        <f>+AB200+1</f>
        <v/>
      </c>
      <c r="AC201" s="547" t="n">
        <v>0.6105133333333335</v>
      </c>
      <c r="AD201" s="547" t="n">
        <v>0.5507933333333334</v>
      </c>
      <c r="AE201" s="547" t="n">
        <v>1.268262147309603</v>
      </c>
    </row>
    <row r="202">
      <c r="W202" s="1444" t="n">
        <v>1.15</v>
      </c>
      <c r="X202" s="1444" t="n">
        <v>1</v>
      </c>
      <c r="Y202" s="1445" t="n">
        <v>1.75</v>
      </c>
      <c r="AB202" s="547">
        <f>+AB201+1</f>
        <v/>
      </c>
      <c r="AC202" s="547" t="n">
        <v>0.5946733333333333</v>
      </c>
      <c r="AD202" s="547" t="n">
        <v>0.5361333333333334</v>
      </c>
      <c r="AE202" s="547" t="n">
        <v>1.272831138155023</v>
      </c>
    </row>
    <row r="203">
      <c r="W203" s="1444" t="n">
        <v>1.175</v>
      </c>
      <c r="X203" s="1444" t="n">
        <v>1</v>
      </c>
      <c r="Y203" s="1445">
        <f>(Y202+Y204)/2</f>
        <v/>
      </c>
      <c r="AB203" s="547">
        <f>+AB202+1</f>
        <v/>
      </c>
      <c r="AC203" s="547" t="n">
        <v>0.57812</v>
      </c>
      <c r="AD203" s="547" t="n">
        <v>0.5206133333333334</v>
      </c>
      <c r="AE203" s="547" t="n">
        <v>1.278199336045728</v>
      </c>
    </row>
    <row customHeight="1" ht="13.5" r="204" s="663" thickBot="1">
      <c r="W204" s="1447" t="n">
        <v>1.2</v>
      </c>
      <c r="X204" s="1447" t="n">
        <v>1</v>
      </c>
      <c r="Y204" s="1448" t="n">
        <v>2.1</v>
      </c>
      <c r="AB204" s="547">
        <f>+AB203+1</f>
        <v/>
      </c>
      <c r="AC204" s="547" t="n">
        <v>0.5609133333333333</v>
      </c>
      <c r="AD204" s="547" t="n">
        <v>0.5042400000000001</v>
      </c>
      <c r="AE204" s="547" t="n">
        <v>1.284553534668572</v>
      </c>
    </row>
    <row r="205">
      <c r="W205" s="1065" t="n"/>
      <c r="X205" s="1065" t="n"/>
      <c r="AB205" s="547">
        <f>+AB204+1</f>
        <v/>
      </c>
      <c r="AC205" s="547" t="n">
        <v>0.54306</v>
      </c>
      <c r="AD205" s="547" t="n">
        <v>0.48702</v>
      </c>
      <c r="AE205" s="547" t="n">
        <v>1.292085301944969</v>
      </c>
    </row>
    <row r="206">
      <c r="W206" s="1065" t="n"/>
      <c r="X206" s="1065" t="n"/>
      <c r="AB206" s="547">
        <f>+AB205+1</f>
        <v/>
      </c>
      <c r="AC206" s="547" t="n">
        <v>0.5245200000000002</v>
      </c>
      <c r="AD206" s="547" t="n">
        <v>0.4689266666666667</v>
      </c>
      <c r="AE206" s="547" t="n">
        <v>1.301038375740282</v>
      </c>
    </row>
    <row r="207">
      <c r="W207" s="1065" t="n"/>
      <c r="X207" s="1065" t="n"/>
      <c r="AB207" s="547">
        <f>+AB206+1</f>
        <v/>
      </c>
      <c r="AC207" s="547" t="n">
        <v>0.5052666666666668</v>
      </c>
      <c r="AD207" s="547" t="n">
        <v>0.4499666666666667</v>
      </c>
      <c r="AE207" s="547" t="n">
        <v>1.311283919378763</v>
      </c>
    </row>
    <row r="208">
      <c r="W208" s="1065" t="n"/>
      <c r="X208" s="1065" t="n"/>
      <c r="AB208" s="547">
        <f>+AB207+1</f>
        <v/>
      </c>
      <c r="AC208" s="547" t="n">
        <v>0.4853866666666667</v>
      </c>
      <c r="AD208" s="547" t="n">
        <v>0.4301533333333334</v>
      </c>
      <c r="AE208" s="547" t="n">
        <v>1.323548515515327</v>
      </c>
    </row>
    <row r="209">
      <c r="W209" s="1065" t="n"/>
      <c r="X209" s="1065" t="n"/>
      <c r="AB209" s="547">
        <f>+AB208+1</f>
        <v/>
      </c>
      <c r="AC209" s="547" t="n">
        <v>0.4648266666666668</v>
      </c>
      <c r="AD209" s="547" t="n">
        <v>0.4095</v>
      </c>
      <c r="AE209" s="547" t="n">
        <v>1.338058121921615</v>
      </c>
    </row>
    <row r="210">
      <c r="W210" s="1065" t="n"/>
      <c r="X210" s="1065" t="n"/>
      <c r="AB210" s="547">
        <f>+AB209+1</f>
        <v/>
      </c>
      <c r="AC210" s="547" t="n">
        <v>0.4435599999999998</v>
      </c>
      <c r="AD210" s="547" t="n">
        <v>0.38796</v>
      </c>
      <c r="AE210" s="547" t="n">
        <v>1.355169344728254</v>
      </c>
    </row>
    <row r="211">
      <c r="W211" s="1065" t="n"/>
      <c r="X211" s="1065" t="n"/>
      <c r="AB211" s="547">
        <f>+AB210+1</f>
        <v/>
      </c>
      <c r="AC211" s="547" t="n">
        <v>0.4216666666666666</v>
      </c>
      <c r="AD211" s="547" t="n">
        <v>0.3655666666666667</v>
      </c>
      <c r="AE211" s="547" t="n">
        <v>1.37598915791963</v>
      </c>
    </row>
    <row r="212">
      <c r="W212" s="1065" t="n"/>
      <c r="X212" s="1065" t="n"/>
      <c r="AB212" s="547">
        <f>+AB211+1</f>
        <v/>
      </c>
      <c r="AC212" s="547" t="n">
        <v>0.3990866666666668</v>
      </c>
      <c r="AD212" s="547" t="n">
        <v>0.34232</v>
      </c>
      <c r="AE212" s="547" t="n">
        <v>1.401139424607785</v>
      </c>
    </row>
    <row r="213">
      <c r="W213" s="1065" t="n"/>
      <c r="X213" s="1065" t="n"/>
      <c r="AB213" s="547">
        <f>+AB212+1</f>
        <v/>
      </c>
      <c r="AC213" s="547" t="n">
        <v>0.3758066666666667</v>
      </c>
      <c r="AD213" s="547" t="n">
        <v>0.3182066666666667</v>
      </c>
      <c r="AE213" s="547" t="n">
        <v>1.431936557824562</v>
      </c>
    </row>
    <row r="214">
      <c r="W214" s="1065" t="n"/>
      <c r="X214" s="1065" t="n"/>
      <c r="AB214" s="547">
        <f>+AB213+1</f>
        <v/>
      </c>
      <c r="AC214" s="547" t="n">
        <v>0.3518666666666667</v>
      </c>
      <c r="AD214" s="547" t="n">
        <v>0.2932533333333333</v>
      </c>
      <c r="AE214" s="547" t="n">
        <v>1.470737180459108</v>
      </c>
    </row>
    <row r="215">
      <c r="W215" s="1065" t="n"/>
      <c r="X215" s="1065" t="n"/>
      <c r="AB215" s="547">
        <f>+AB214+1</f>
        <v/>
      </c>
      <c r="AC215" s="547" t="n">
        <v>0.3272733333333334</v>
      </c>
      <c r="AD215" s="547" t="n">
        <v>0.26742</v>
      </c>
      <c r="AE215" s="547" t="n">
        <v>1.520700468623375</v>
      </c>
    </row>
    <row r="216">
      <c r="W216" s="1065" t="n"/>
      <c r="X216" s="1065" t="n"/>
      <c r="AB216" s="547">
        <f>+AB215+1</f>
        <v/>
      </c>
      <c r="AC216" s="547" t="n">
        <v>0.30202</v>
      </c>
      <c r="AD216" s="547" t="n">
        <v>0.2407333333333334</v>
      </c>
      <c r="AE216" s="547" t="n">
        <v>1.586920357662716</v>
      </c>
    </row>
    <row r="217">
      <c r="W217" s="1065" t="n"/>
      <c r="X217" s="1065" t="n"/>
      <c r="AB217" s="547">
        <f>+AB216+1</f>
        <v/>
      </c>
      <c r="AC217" s="547" t="n">
        <v>0.27604</v>
      </c>
      <c r="AD217" s="547" t="n">
        <v>0.2131866666666666</v>
      </c>
      <c r="AE217" s="547" t="n">
        <v>1.678172853862721</v>
      </c>
    </row>
    <row r="218">
      <c r="W218" s="1065" t="n"/>
      <c r="X218" s="1065" t="n"/>
      <c r="AB218" s="547">
        <f>+AB217+1</f>
        <v/>
      </c>
      <c r="AC218" s="547" t="n">
        <v>0.2494199999999999</v>
      </c>
      <c r="AD218" s="547" t="n">
        <v>0.1847666666666667</v>
      </c>
      <c r="AE218" s="547" t="n">
        <v>1.813302491941616</v>
      </c>
    </row>
    <row r="219">
      <c r="W219" s="1065" t="n"/>
      <c r="X219" s="1065" t="n"/>
      <c r="AB219" s="547">
        <f>+AB218+1</f>
        <v/>
      </c>
      <c r="AC219" s="547" t="n">
        <v>0.2221466666666667</v>
      </c>
      <c r="AD219" s="547" t="n">
        <v>0.1555333333333333</v>
      </c>
      <c r="AE219" s="547" t="n">
        <v>2.032698689291036</v>
      </c>
    </row>
    <row r="220">
      <c r="W220" s="1065" t="n"/>
      <c r="X220" s="1065" t="n"/>
      <c r="AB220" s="547">
        <f>+AB219+1</f>
        <v/>
      </c>
      <c r="AC220" s="547" t="n">
        <v>0.1941466666666667</v>
      </c>
      <c r="AD220" s="547" t="n">
        <v>0.1254066666666667</v>
      </c>
      <c r="AE220" s="547" t="n">
        <v>2.458841159670563</v>
      </c>
    </row>
  </sheetData>
  <mergeCells count="188">
    <mergeCell ref="Q104:R104"/>
    <mergeCell ref="Q105:R105"/>
    <mergeCell ref="Q102:R102"/>
    <mergeCell ref="B103:C103"/>
    <mergeCell ref="Y47:AB47"/>
    <mergeCell ref="Y48:Z48"/>
    <mergeCell ref="AA48:AB48"/>
    <mergeCell ref="B116:C116"/>
    <mergeCell ref="B117:C117"/>
    <mergeCell ref="E104:F104"/>
    <mergeCell ref="G104:H104"/>
    <mergeCell ref="I104:J104"/>
    <mergeCell ref="B104:C104"/>
    <mergeCell ref="D105:J105"/>
    <mergeCell ref="B101:D101"/>
    <mergeCell ref="E101:F101"/>
    <mergeCell ref="G101:H101"/>
    <mergeCell ref="I101:J101"/>
    <mergeCell ref="M101:N101"/>
    <mergeCell ref="Q101:R101"/>
    <mergeCell ref="E100:F100"/>
    <mergeCell ref="G100:H100"/>
    <mergeCell ref="I100:J100"/>
    <mergeCell ref="M100:N100"/>
    <mergeCell ref="W121:AE121"/>
    <mergeCell ref="AB123:AD123"/>
    <mergeCell ref="B110:C110"/>
    <mergeCell ref="B111:C111"/>
    <mergeCell ref="B112:C112"/>
    <mergeCell ref="B113:C113"/>
    <mergeCell ref="B114:C114"/>
    <mergeCell ref="B115:C115"/>
    <mergeCell ref="Q106:R106"/>
    <mergeCell ref="B107:L107"/>
    <mergeCell ref="Q107:R107"/>
    <mergeCell ref="B108:C108"/>
    <mergeCell ref="P108:R108"/>
    <mergeCell ref="B109:C109"/>
    <mergeCell ref="Q100:R100"/>
    <mergeCell ref="E103:F103"/>
    <mergeCell ref="G103:H103"/>
    <mergeCell ref="I103:J103"/>
    <mergeCell ref="M103:N103"/>
    <mergeCell ref="P103:R103"/>
    <mergeCell ref="B102:D102"/>
    <mergeCell ref="E102:F102"/>
    <mergeCell ref="G102:H102"/>
    <mergeCell ref="I102:J102"/>
    <mergeCell ref="M102:N102"/>
    <mergeCell ref="C100:D100"/>
    <mergeCell ref="B96:D96"/>
    <mergeCell ref="E96:F96"/>
    <mergeCell ref="B98:L98"/>
    <mergeCell ref="P98:R98"/>
    <mergeCell ref="B99:D99"/>
    <mergeCell ref="E99:F99"/>
    <mergeCell ref="G99:H99"/>
    <mergeCell ref="I99:J99"/>
    <mergeCell ref="M99:O99"/>
    <mergeCell ref="Q99:R99"/>
    <mergeCell ref="G96:H96"/>
    <mergeCell ref="I96:J96"/>
    <mergeCell ref="K96:L96"/>
    <mergeCell ref="P97:R97"/>
    <mergeCell ref="G94:H94"/>
    <mergeCell ref="I94:J94"/>
    <mergeCell ref="K94:L94"/>
    <mergeCell ref="G95:H95"/>
    <mergeCell ref="I95:J95"/>
    <mergeCell ref="K95:L95"/>
    <mergeCell ref="M90:N90"/>
    <mergeCell ref="B95:D95"/>
    <mergeCell ref="E95:F95"/>
    <mergeCell ref="M95:N95"/>
    <mergeCell ref="P92:R92"/>
    <mergeCell ref="G93:H93"/>
    <mergeCell ref="I93:J93"/>
    <mergeCell ref="K93:L93"/>
    <mergeCell ref="M93:O93"/>
    <mergeCell ref="B86:C86"/>
    <mergeCell ref="M86:O86"/>
    <mergeCell ref="P86:R86"/>
    <mergeCell ref="J87:K87"/>
    <mergeCell ref="M87:N87"/>
    <mergeCell ref="O87:O89"/>
    <mergeCell ref="P87:R87"/>
    <mergeCell ref="B89:F89"/>
    <mergeCell ref="K89:L89"/>
    <mergeCell ref="B87:G87"/>
    <mergeCell ref="C88:K88"/>
    <mergeCell ref="B93:E93"/>
    <mergeCell ref="N92:O92"/>
    <mergeCell ref="B83:C83"/>
    <mergeCell ref="M83:N83"/>
    <mergeCell ref="B84:C84"/>
    <mergeCell ref="M84:N84"/>
    <mergeCell ref="B85:C85"/>
    <mergeCell ref="P85:Q85"/>
    <mergeCell ref="B79:L79"/>
    <mergeCell ref="P79:Q79"/>
    <mergeCell ref="B81:L81"/>
    <mergeCell ref="M81:O81"/>
    <mergeCell ref="B82:C82"/>
    <mergeCell ref="F82:G82"/>
    <mergeCell ref="I82:J82"/>
    <mergeCell ref="M82:N82"/>
    <mergeCell ref="P82:R82"/>
    <mergeCell ref="P76:Q76"/>
    <mergeCell ref="B77:C77"/>
    <mergeCell ref="M77:O77"/>
    <mergeCell ref="P77:Q77"/>
    <mergeCell ref="B78:C78"/>
    <mergeCell ref="M78:O78"/>
    <mergeCell ref="P78:Q78"/>
    <mergeCell ref="M74:N74"/>
    <mergeCell ref="O74:O76"/>
    <mergeCell ref="B75:K75"/>
    <mergeCell ref="M75:N75"/>
    <mergeCell ref="B76:C76"/>
    <mergeCell ref="M76:N76"/>
    <mergeCell ref="B71:E71"/>
    <mergeCell ref="Q71:R71"/>
    <mergeCell ref="B72:E72"/>
    <mergeCell ref="D73:E73"/>
    <mergeCell ref="J73:K73"/>
    <mergeCell ref="M73:O73"/>
    <mergeCell ref="P73:R73"/>
    <mergeCell ref="B68:L68"/>
    <mergeCell ref="B69:E69"/>
    <mergeCell ref="F69:K69"/>
    <mergeCell ref="B70:E70"/>
    <mergeCell ref="N70:O70"/>
    <mergeCell ref="Q70:R70"/>
    <mergeCell ref="B63:E63"/>
    <mergeCell ref="F63:K63"/>
    <mergeCell ref="B64:D64"/>
    <mergeCell ref="B65:D65"/>
    <mergeCell ref="B66:D66"/>
    <mergeCell ref="B67:F67"/>
    <mergeCell ref="B56:C56"/>
    <mergeCell ref="B57:C57"/>
    <mergeCell ref="B58:C58"/>
    <mergeCell ref="B59:C59"/>
    <mergeCell ref="B60:C60"/>
    <mergeCell ref="B61:L61"/>
    <mergeCell ref="B49:C49"/>
    <mergeCell ref="B50:C50"/>
    <mergeCell ref="B51:L51"/>
    <mergeCell ref="B53:K53"/>
    <mergeCell ref="B54:C54"/>
    <mergeCell ref="B55:C55"/>
    <mergeCell ref="B47:K47"/>
    <mergeCell ref="N47:P47"/>
    <mergeCell ref="Q47:R47"/>
    <mergeCell ref="B52:F52"/>
    <mergeCell ref="G52:L52"/>
    <mergeCell ref="B48:C48"/>
    <mergeCell ref="T48:U48"/>
    <mergeCell ref="M42:R42"/>
    <mergeCell ref="M43:O43"/>
    <mergeCell ref="P43:R43"/>
    <mergeCell ref="M44:O44"/>
    <mergeCell ref="P44:R44"/>
    <mergeCell ref="B45:R45"/>
    <mergeCell ref="W46:X46"/>
    <mergeCell ref="M27:Q27"/>
    <mergeCell ref="I6:J6"/>
    <mergeCell ref="P6:Q6"/>
    <mergeCell ref="E7:G7"/>
    <mergeCell ref="B8:C8"/>
    <mergeCell ref="D8:E8"/>
    <mergeCell ref="F8:G8"/>
    <mergeCell ref="H8:I8"/>
    <mergeCell ref="W47:X47"/>
    <mergeCell ref="B9:C9"/>
    <mergeCell ref="D9:E9"/>
    <mergeCell ref="H9:I9"/>
    <mergeCell ref="F10:I10"/>
    <mergeCell ref="H17:L17"/>
    <mergeCell ref="G2:M3"/>
    <mergeCell ref="P3:R3"/>
    <mergeCell ref="G4:M4"/>
    <mergeCell ref="P4:Q4"/>
    <mergeCell ref="W4:AE4"/>
    <mergeCell ref="B5:D5"/>
    <mergeCell ref="I5:J5"/>
    <mergeCell ref="L5:N5"/>
    <mergeCell ref="P5:Q5"/>
  </mergeCells>
  <conditionalFormatting sqref="F73">
    <cfRule dxfId="11" priority="25" stopIfTrue="1" type="expression">
      <formula>$D$73=FALSE</formula>
    </cfRule>
  </conditionalFormatting>
  <conditionalFormatting sqref="L54">
    <cfRule dxfId="27" operator="equal" priority="26" stopIfTrue="1" type="cellIs">
      <formula>"1 Mile"</formula>
    </cfRule>
  </conditionalFormatting>
  <conditionalFormatting sqref="J54">
    <cfRule dxfId="27" operator="equal" priority="27" stopIfTrue="1" type="cellIs">
      <formula>"1000m"</formula>
    </cfRule>
  </conditionalFormatting>
  <conditionalFormatting sqref="M66">
    <cfRule dxfId="26" operator="greaterThan" priority="28" stopIfTrue="1" type="cellIs">
      <formula>1</formula>
    </cfRule>
  </conditionalFormatting>
  <conditionalFormatting sqref="I6:J6">
    <cfRule dxfId="25" operator="notBetween" priority="29" stopIfTrue="1" type="cellIs">
      <formula>25</formula>
      <formula>85</formula>
    </cfRule>
  </conditionalFormatting>
  <conditionalFormatting sqref="E5">
    <cfRule dxfId="5" operator="notBetween" priority="32" stopIfTrue="1" type="cellIs">
      <formula>5</formula>
      <formula>100</formula>
    </cfRule>
  </conditionalFormatting>
  <conditionalFormatting sqref="P48 R76">
    <cfRule dxfId="5" operator="equal" priority="33" stopIfTrue="1" type="cellIs">
      <formula>"Birthdate?"</formula>
    </cfRule>
  </conditionalFormatting>
  <conditionalFormatting sqref="R77">
    <cfRule dxfId="4" priority="13" type="expression">
      <formula>ROUND(C3,1)&lt;ROUND(MIN($D$92,$F$94),1)</formula>
    </cfRule>
    <cfRule dxfId="5" operator="equal" priority="34" type="cellIs">
      <formula>"Wght / Hght?"</formula>
    </cfRule>
  </conditionalFormatting>
  <conditionalFormatting sqref="M41">
    <cfRule dxfId="14" priority="36" stopIfTrue="1" type="expression">
      <formula>$N$28=3</formula>
    </cfRule>
  </conditionalFormatting>
  <conditionalFormatting sqref="N41">
    <cfRule dxfId="14" priority="37" stopIfTrue="1" type="expression">
      <formula>OR($N$28=2,$N$28=4)</formula>
    </cfRule>
  </conditionalFormatting>
  <conditionalFormatting sqref="O41">
    <cfRule dxfId="12" priority="38" stopIfTrue="1" type="expression">
      <formula>OR($N$28=1,$N$28=4)</formula>
    </cfRule>
  </conditionalFormatting>
  <conditionalFormatting sqref="P41">
    <cfRule dxfId="12" priority="39" stopIfTrue="1" type="expression">
      <formula>OR($N$28=1,$N$28=2,$N$28=3)</formula>
    </cfRule>
  </conditionalFormatting>
  <conditionalFormatting sqref="Q31:R40">
    <cfRule dxfId="16" operator="equal" priority="40" stopIfTrue="1" type="cellIs">
      <formula>0</formula>
    </cfRule>
  </conditionalFormatting>
  <conditionalFormatting sqref="M31:M40">
    <cfRule dxfId="14" priority="41" stopIfTrue="1" type="expression">
      <formula>$R$29=3</formula>
    </cfRule>
  </conditionalFormatting>
  <conditionalFormatting sqref="N31:N40">
    <cfRule dxfId="14" priority="42" stopIfTrue="1" type="expression">
      <formula>OR($R$29=2,$R$29=4)</formula>
    </cfRule>
  </conditionalFormatting>
  <conditionalFormatting sqref="O31:O40">
    <cfRule dxfId="12" priority="43" stopIfTrue="1" type="expression">
      <formula>OR($R$29=1,$R$29=4)</formula>
    </cfRule>
  </conditionalFormatting>
  <conditionalFormatting sqref="P31:P40">
    <cfRule dxfId="12" priority="44" stopIfTrue="1" type="expression">
      <formula>OR($R$29=1,$R$29=2,$R$29=3)</formula>
    </cfRule>
  </conditionalFormatting>
  <conditionalFormatting sqref="L73">
    <cfRule dxfId="11" priority="45" stopIfTrue="1" type="expression">
      <formula>$J$73=FALSE</formula>
    </cfRule>
  </conditionalFormatting>
  <conditionalFormatting sqref="H89 E82">
    <cfRule dxfId="5" operator="equal" priority="19" stopIfTrue="1" type="cellIs">
      <formula>"Birthdate?"</formula>
    </cfRule>
  </conditionalFormatting>
  <conditionalFormatting sqref="D83:L83">
    <cfRule dxfId="3" priority="18" type="expression">
      <formula>ROUND(D83,1)&lt;ROUND(MIN($D$92,$F$94),1)</formula>
    </cfRule>
  </conditionalFormatting>
  <conditionalFormatting sqref="I95:L96">
    <cfRule dxfId="1" priority="17" type="expression">
      <formula>ROUND(I95,1)=ROUND($N$88,1)</formula>
    </cfRule>
  </conditionalFormatting>
  <conditionalFormatting sqref="M87:N87">
    <cfRule dxfId="5" operator="equal" priority="16" stopIfTrue="1" type="cellIs">
      <formula>"Current Weight?"</formula>
    </cfRule>
  </conditionalFormatting>
  <conditionalFormatting sqref="M89">
    <cfRule dxfId="3" priority="15" type="expression">
      <formula>ROUND($N$88,1)&lt;ROUND(MIN($D$92,$F$94),1)</formula>
    </cfRule>
  </conditionalFormatting>
  <conditionalFormatting sqref="K89">
    <cfRule dxfId="5" operator="equal" priority="11" type="cellIs">
      <formula>"Wght / Hght?"</formula>
    </cfRule>
  </conditionalFormatting>
  <conditionalFormatting sqref="E101 G102">
    <cfRule dxfId="4" operator="containsText" priority="10" text="Weight?" type="containsText">
      <formula>NOT(ISERROR(SEARCH("Weight?",E101)))</formula>
    </cfRule>
  </conditionalFormatting>
  <conditionalFormatting sqref="R79">
    <cfRule dxfId="3" priority="4" stopIfTrue="1" type="expression">
      <formula>ROUND($P$80,1)&lt;ROUND(MIN($D$92,$F$94),1)</formula>
    </cfRule>
  </conditionalFormatting>
  <conditionalFormatting sqref="G95:H95">
    <cfRule dxfId="1" priority="3" type="expression">
      <formula>ROUND(G95,1)=ROUND($N$88,1)</formula>
    </cfRule>
  </conditionalFormatting>
  <conditionalFormatting sqref="G96:H96">
    <cfRule dxfId="1" priority="2" type="expression">
      <formula>ROUND(G96,1)=ROUND($N$88,1)</formula>
    </cfRule>
  </conditionalFormatting>
  <conditionalFormatting sqref="D91">
    <cfRule dxfId="0" priority="1" type="expression">
      <formula>ROUND(D92,1)=ROUND($N$88,1)</formula>
    </cfRule>
  </conditionalFormatting>
  <dataValidations count="4">
    <dataValidation allowBlank="0" showErrorMessage="1" showInputMessage="1" sqref="E6" type="list">
      <formula1>$Z$124:$Z$131</formula1>
    </dataValidation>
    <dataValidation allowBlank="0" showErrorMessage="1" showInputMessage="1" sqref="R29" type="whole">
      <formula1>1</formula1>
      <formula2>4</formula2>
    </dataValidation>
    <dataValidation allowBlank="0" showErrorMessage="1" showInputMessage="1" sqref="E2" type="date">
      <formula1>1</formula1>
      <formula2>NOW()</formula2>
    </dataValidation>
    <dataValidation allowBlank="0" promptTitle="Time Entry" showErrorMessage="1" showInputMessage="1" sqref="G6"/>
  </dataValidations>
  <hyperlinks>
    <hyperlink xmlns:r="http://schemas.openxmlformats.org/officeDocument/2006/relationships" display="2015 Age Grade Factors" ref="T48" r:id="rId1"/>
    <hyperlink xmlns:r="http://schemas.openxmlformats.org/officeDocument/2006/relationships" display="Jack Daniels Online Training Log" ref="B52" r:id="rId2"/>
    <hyperlink xmlns:r="http://schemas.openxmlformats.org/officeDocument/2006/relationships" display="Run Smart Project /" ref="G52" r:id="rId3"/>
    <hyperlink xmlns:r="http://schemas.openxmlformats.org/officeDocument/2006/relationships" display="McMillanRunning.com" ref="B63" r:id="rId4"/>
    <hyperlink xmlns:r="http://schemas.openxmlformats.org/officeDocument/2006/relationships" display="Joe Friel" ref="B69" r:id="rId5"/>
    <hyperlink xmlns:r="http://schemas.openxmlformats.org/officeDocument/2006/relationships" display="http://www.iaaf.org/statistics/records/index.html" ref="N71" r:id="rId6"/>
    <hyperlink xmlns:r="http://schemas.openxmlformats.org/officeDocument/2006/relationships" ref="O71" r:id="rId7"/>
    <hyperlink xmlns:r="http://schemas.openxmlformats.org/officeDocument/2006/relationships" ref="P71" r:id="rId8"/>
    <hyperlink xmlns:r="http://schemas.openxmlformats.org/officeDocument/2006/relationships" display="2015 Age Grade Factors" ref="AB123" r:id="rId9"/>
  </hyperlinks>
  <pageMargins bottom="1" footer="0.5" header="0.5" left="0.32" right="0.5" top="0.91"/>
  <pageSetup horizontalDpi="300" orientation="landscape" scale="41"/>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B2:Q249"/>
  <sheetViews>
    <sheetView showGridLines="0" workbookViewId="0">
      <selection activeCell="A1" sqref="A1"/>
    </sheetView>
  </sheetViews>
  <sheetFormatPr baseColWidth="8" defaultRowHeight="12.75"/>
  <cols>
    <col customWidth="1" max="1" min="1" style="663" width="0.85546875"/>
    <col bestFit="1" customWidth="1" max="15" min="15" style="663" width="10.140625"/>
    <col customWidth="1" max="17" min="16" style="663" width="14.42578125"/>
    <col customWidth="1" max="244" min="244" style="663" width="0.85546875"/>
    <col customWidth="1" max="259" min="259" style="663" width="14.42578125"/>
    <col customWidth="1" max="500" min="500" style="663" width="0.85546875"/>
    <col customWidth="1" max="515" min="515" style="663" width="14.42578125"/>
    <col customWidth="1" max="756" min="756" style="663" width="0.85546875"/>
    <col customWidth="1" max="771" min="771" style="663" width="14.42578125"/>
    <col customWidth="1" max="1012" min="1012" style="663" width="0.85546875"/>
    <col customWidth="1" max="1027" min="1027" style="663" width="14.42578125"/>
    <col customWidth="1" max="1268" min="1268" style="663" width="0.85546875"/>
    <col customWidth="1" max="1283" min="1283" style="663" width="14.42578125"/>
    <col customWidth="1" max="1524" min="1524" style="663" width="0.85546875"/>
    <col customWidth="1" max="1539" min="1539" style="663" width="14.42578125"/>
    <col customWidth="1" max="1780" min="1780" style="663" width="0.85546875"/>
    <col customWidth="1" max="1795" min="1795" style="663" width="14.42578125"/>
    <col customWidth="1" max="2036" min="2036" style="663" width="0.85546875"/>
    <col customWidth="1" max="2051" min="2051" style="663" width="14.42578125"/>
    <col customWidth="1" max="2292" min="2292" style="663" width="0.85546875"/>
    <col customWidth="1" max="2307" min="2307" style="663" width="14.42578125"/>
    <col customWidth="1" max="2548" min="2548" style="663" width="0.85546875"/>
    <col customWidth="1" max="2563" min="2563" style="663" width="14.42578125"/>
    <col customWidth="1" max="2804" min="2804" style="663" width="0.85546875"/>
    <col customWidth="1" max="2819" min="2819" style="663" width="14.42578125"/>
    <col customWidth="1" max="3060" min="3060" style="663" width="0.85546875"/>
    <col customWidth="1" max="3075" min="3075" style="663" width="14.42578125"/>
    <col customWidth="1" max="3316" min="3316" style="663" width="0.85546875"/>
    <col customWidth="1" max="3331" min="3331" style="663" width="14.42578125"/>
    <col customWidth="1" max="3572" min="3572" style="663" width="0.85546875"/>
    <col customWidth="1" max="3587" min="3587" style="663" width="14.42578125"/>
    <col customWidth="1" max="3828" min="3828" style="663" width="0.85546875"/>
    <col customWidth="1" max="3843" min="3843" style="663" width="14.42578125"/>
    <col customWidth="1" max="4084" min="4084" style="663" width="0.85546875"/>
    <col customWidth="1" max="4099" min="4099" style="663" width="14.42578125"/>
    <col customWidth="1" max="4340" min="4340" style="663" width="0.85546875"/>
    <col customWidth="1" max="4355" min="4355" style="663" width="14.42578125"/>
    <col customWidth="1" max="4596" min="4596" style="663" width="0.85546875"/>
    <col customWidth="1" max="4611" min="4611" style="663" width="14.42578125"/>
    <col customWidth="1" max="4852" min="4852" style="663" width="0.85546875"/>
    <col customWidth="1" max="4867" min="4867" style="663" width="14.42578125"/>
    <col customWidth="1" max="5108" min="5108" style="663" width="0.85546875"/>
    <col customWidth="1" max="5123" min="5123" style="663" width="14.42578125"/>
    <col customWidth="1" max="5364" min="5364" style="663" width="0.85546875"/>
    <col customWidth="1" max="5379" min="5379" style="663" width="14.42578125"/>
    <col customWidth="1" max="5620" min="5620" style="663" width="0.85546875"/>
    <col customWidth="1" max="5635" min="5635" style="663" width="14.42578125"/>
    <col customWidth="1" max="5876" min="5876" style="663" width="0.85546875"/>
    <col customWidth="1" max="5891" min="5891" style="663" width="14.42578125"/>
    <col customWidth="1" max="6132" min="6132" style="663" width="0.85546875"/>
    <col customWidth="1" max="6147" min="6147" style="663" width="14.42578125"/>
    <col customWidth="1" max="6388" min="6388" style="663" width="0.85546875"/>
    <col customWidth="1" max="6403" min="6403" style="663" width="14.42578125"/>
    <col customWidth="1" max="6644" min="6644" style="663" width="0.85546875"/>
    <col customWidth="1" max="6659" min="6659" style="663" width="14.42578125"/>
    <col customWidth="1" max="6900" min="6900" style="663" width="0.85546875"/>
    <col customWidth="1" max="6915" min="6915" style="663" width="14.42578125"/>
    <col customWidth="1" max="7156" min="7156" style="663" width="0.85546875"/>
    <col customWidth="1" max="7171" min="7171" style="663" width="14.42578125"/>
    <col customWidth="1" max="7412" min="7412" style="663" width="0.85546875"/>
    <col customWidth="1" max="7427" min="7427" style="663" width="14.42578125"/>
    <col customWidth="1" max="7668" min="7668" style="663" width="0.85546875"/>
    <col customWidth="1" max="7683" min="7683" style="663" width="14.42578125"/>
    <col customWidth="1" max="7924" min="7924" style="663" width="0.85546875"/>
    <col customWidth="1" max="7939" min="7939" style="663" width="14.42578125"/>
    <col customWidth="1" max="8180" min="8180" style="663" width="0.85546875"/>
    <col customWidth="1" max="8195" min="8195" style="663" width="14.42578125"/>
    <col customWidth="1" max="8436" min="8436" style="663" width="0.85546875"/>
    <col customWidth="1" max="8451" min="8451" style="663" width="14.42578125"/>
    <col customWidth="1" max="8692" min="8692" style="663" width="0.85546875"/>
    <col customWidth="1" max="8707" min="8707" style="663" width="14.42578125"/>
    <col customWidth="1" max="8948" min="8948" style="663" width="0.85546875"/>
    <col customWidth="1" max="8963" min="8963" style="663" width="14.42578125"/>
    <col customWidth="1" max="9204" min="9204" style="663" width="0.85546875"/>
    <col customWidth="1" max="9219" min="9219" style="663" width="14.42578125"/>
    <col customWidth="1" max="9460" min="9460" style="663" width="0.85546875"/>
    <col customWidth="1" max="9475" min="9475" style="663" width="14.42578125"/>
    <col customWidth="1" max="9716" min="9716" style="663" width="0.85546875"/>
    <col customWidth="1" max="9731" min="9731" style="663" width="14.42578125"/>
    <col customWidth="1" max="9972" min="9972" style="663" width="0.85546875"/>
    <col customWidth="1" max="9987" min="9987" style="663" width="14.42578125"/>
    <col customWidth="1" max="10228" min="10228" style="663" width="0.85546875"/>
    <col customWidth="1" max="10243" min="10243" style="663" width="14.42578125"/>
    <col customWidth="1" max="10484" min="10484" style="663" width="0.85546875"/>
    <col customWidth="1" max="10499" min="10499" style="663" width="14.42578125"/>
    <col customWidth="1" max="10740" min="10740" style="663" width="0.85546875"/>
    <col customWidth="1" max="10755" min="10755" style="663" width="14.42578125"/>
    <col customWidth="1" max="10996" min="10996" style="663" width="0.85546875"/>
    <col customWidth="1" max="11011" min="11011" style="663" width="14.42578125"/>
    <col customWidth="1" max="11252" min="11252" style="663" width="0.85546875"/>
    <col customWidth="1" max="11267" min="11267" style="663" width="14.42578125"/>
    <col customWidth="1" max="11508" min="11508" style="663" width="0.85546875"/>
    <col customWidth="1" max="11523" min="11523" style="663" width="14.42578125"/>
    <col customWidth="1" max="11764" min="11764" style="663" width="0.85546875"/>
    <col customWidth="1" max="11779" min="11779" style="663" width="14.42578125"/>
    <col customWidth="1" max="12020" min="12020" style="663" width="0.85546875"/>
    <col customWidth="1" max="12035" min="12035" style="663" width="14.42578125"/>
    <col customWidth="1" max="12276" min="12276" style="663" width="0.85546875"/>
    <col customWidth="1" max="12291" min="12291" style="663" width="14.42578125"/>
    <col customWidth="1" max="12532" min="12532" style="663" width="0.85546875"/>
    <col customWidth="1" max="12547" min="12547" style="663" width="14.42578125"/>
    <col customWidth="1" max="12788" min="12788" style="663" width="0.85546875"/>
    <col customWidth="1" max="12803" min="12803" style="663" width="14.42578125"/>
    <col customWidth="1" max="13044" min="13044" style="663" width="0.85546875"/>
    <col customWidth="1" max="13059" min="13059" style="663" width="14.42578125"/>
    <col customWidth="1" max="13300" min="13300" style="663" width="0.85546875"/>
    <col customWidth="1" max="13315" min="13315" style="663" width="14.42578125"/>
    <col customWidth="1" max="13556" min="13556" style="663" width="0.85546875"/>
    <col customWidth="1" max="13571" min="13571" style="663" width="14.42578125"/>
    <col customWidth="1" max="13812" min="13812" style="663" width="0.85546875"/>
    <col customWidth="1" max="13827" min="13827" style="663" width="14.42578125"/>
    <col customWidth="1" max="14068" min="14068" style="663" width="0.85546875"/>
    <col customWidth="1" max="14083" min="14083" style="663" width="14.42578125"/>
    <col customWidth="1" max="14324" min="14324" style="663" width="0.85546875"/>
    <col customWidth="1" max="14339" min="14339" style="663" width="14.42578125"/>
    <col customWidth="1" max="14580" min="14580" style="663" width="0.85546875"/>
    <col customWidth="1" max="14595" min="14595" style="663" width="14.42578125"/>
    <col customWidth="1" max="14836" min="14836" style="663" width="0.85546875"/>
    <col customWidth="1" max="14851" min="14851" style="663" width="14.42578125"/>
    <col customWidth="1" max="15092" min="15092" style="663" width="0.85546875"/>
    <col customWidth="1" max="15107" min="15107" style="663" width="14.42578125"/>
    <col customWidth="1" max="15348" min="15348" style="663" width="0.85546875"/>
    <col customWidth="1" max="15363" min="15363" style="663" width="14.42578125"/>
    <col customWidth="1" max="15604" min="15604" style="663" width="0.85546875"/>
    <col customWidth="1" max="15619" min="15619" style="663" width="14.42578125"/>
    <col customWidth="1" max="15860" min="15860" style="663" width="0.85546875"/>
    <col customWidth="1" max="15875" min="15875" style="663" width="14.42578125"/>
    <col customWidth="1" max="16116" min="16116" style="663" width="0.85546875"/>
    <col customWidth="1" max="16131" min="16131" style="663" width="14.42578125"/>
  </cols>
  <sheetData>
    <row customHeight="1" ht="6" r="1" s="663" thickBot="1"/>
    <row customHeight="1" ht="15.75" r="2" s="663">
      <c r="B2" s="618" t="inlineStr">
        <is>
          <t>General:</t>
        </is>
      </c>
      <c r="C2" s="550" t="n"/>
      <c r="D2" s="551" t="n"/>
      <c r="E2" s="551" t="n"/>
      <c r="F2" s="551" t="n"/>
      <c r="G2" s="551" t="n"/>
      <c r="H2" s="551" t="n"/>
      <c r="I2" s="551" t="n"/>
      <c r="J2" s="551" t="n"/>
      <c r="K2" s="551" t="n"/>
      <c r="L2" s="551" t="n"/>
      <c r="M2" s="551" t="n"/>
      <c r="N2" s="551" t="n"/>
      <c r="O2" s="551" t="n"/>
      <c r="P2" s="551" t="n"/>
      <c r="Q2" s="552" t="n"/>
    </row>
    <row r="3">
      <c r="B3" s="560" t="n"/>
      <c r="C3" s="323" t="n"/>
      <c r="D3" s="556" t="n"/>
      <c r="E3" s="556" t="n"/>
      <c r="F3" s="556" t="n"/>
      <c r="G3" s="556" t="n"/>
      <c r="H3" s="556" t="n"/>
      <c r="I3" s="556" t="n"/>
      <c r="J3" s="556" t="n"/>
      <c r="K3" s="556" t="n"/>
      <c r="L3" s="556" t="n"/>
      <c r="M3" s="556" t="n"/>
      <c r="N3" s="556" t="n"/>
      <c r="O3" s="556" t="n"/>
      <c r="P3" s="556" t="n"/>
      <c r="Q3" s="554" t="n"/>
    </row>
    <row r="4">
      <c r="B4" s="560" t="inlineStr">
        <is>
          <t>No two runners are exactly alike. The many tables of projections and calculations in this worksheet are intended to be used as guidelines to aid in training plan development</t>
        </is>
      </c>
      <c r="C4" s="556" t="n"/>
      <c r="D4" s="556" t="n"/>
      <c r="E4" s="556" t="n"/>
      <c r="F4" s="556" t="n"/>
      <c r="G4" s="556" t="n"/>
      <c r="H4" s="556" t="n"/>
      <c r="I4" s="556" t="n"/>
      <c r="J4" s="556" t="n"/>
      <c r="K4" s="556" t="n"/>
      <c r="L4" s="556" t="n"/>
      <c r="M4" s="556" t="n"/>
      <c r="N4" s="556" t="n"/>
      <c r="O4" s="556" t="n"/>
      <c r="P4" s="556" t="n"/>
      <c r="Q4" s="554" t="n"/>
    </row>
    <row r="5">
      <c r="B5" s="560" t="inlineStr">
        <is>
          <t>and goal setting. The pace calculations and other results of the worksheet are general approximations, and not intended to be presented as absolutes.</t>
        </is>
      </c>
      <c r="C5" s="556" t="n"/>
      <c r="D5" s="556" t="n"/>
      <c r="E5" s="556" t="n"/>
      <c r="F5" s="556" t="n"/>
      <c r="G5" s="556" t="n"/>
      <c r="H5" s="556" t="n"/>
      <c r="I5" s="556" t="n"/>
      <c r="J5" s="556" t="n"/>
      <c r="K5" s="556" t="n"/>
      <c r="L5" s="556" t="n"/>
      <c r="M5" s="556" t="n"/>
      <c r="N5" s="556" t="n"/>
      <c r="O5" s="556" t="n"/>
      <c r="P5" s="556" t="n"/>
      <c r="Q5" s="554" t="n"/>
    </row>
    <row r="6">
      <c r="B6" s="560" t="inlineStr">
        <is>
          <t>Having said that, in my many years of running and using this tool, I find the race time projections to be remarkably accurate. As the saying goes... "Your mileage may vary".</t>
        </is>
      </c>
      <c r="C6" s="556" t="n"/>
      <c r="D6" s="556" t="n"/>
      <c r="E6" s="556" t="n"/>
      <c r="F6" s="556" t="n"/>
      <c r="G6" s="556" t="n"/>
      <c r="H6" s="556" t="n"/>
      <c r="I6" s="556" t="n"/>
      <c r="J6" s="556" t="n"/>
      <c r="K6" s="556" t="n"/>
      <c r="L6" s="556" t="n"/>
      <c r="M6" s="556" t="n"/>
      <c r="N6" s="556" t="n"/>
      <c r="O6" s="556" t="n"/>
      <c r="P6" s="556" t="n"/>
      <c r="Q6" s="554" t="n"/>
    </row>
    <row r="7">
      <c r="B7" s="560" t="n"/>
      <c r="C7" s="556" t="n"/>
      <c r="D7" s="556" t="n"/>
      <c r="E7" s="556" t="n"/>
      <c r="F7" s="556" t="n"/>
      <c r="G7" s="556" t="n"/>
      <c r="H7" s="556" t="n"/>
      <c r="I7" s="556" t="n"/>
      <c r="J7" s="556" t="n"/>
      <c r="K7" s="556" t="n"/>
      <c r="L7" s="556" t="n"/>
      <c r="M7" s="556" t="n"/>
      <c r="N7" s="556" t="n"/>
      <c r="O7" s="556" t="n"/>
      <c r="P7" s="556" t="n"/>
      <c r="Q7" s="554" t="n"/>
    </row>
    <row r="8">
      <c r="B8" s="560" t="inlineStr">
        <is>
          <t xml:space="preserve">Throughout the worksheets, all user entry fields have a white background. All fields with colored backgrounds are formulas and should not be edited.  </t>
        </is>
      </c>
      <c r="C8" s="323" t="n"/>
      <c r="D8" s="556" t="n"/>
      <c r="E8" s="556" t="n"/>
      <c r="F8" s="556" t="n"/>
      <c r="G8" s="556" t="n"/>
      <c r="H8" s="556" t="n"/>
      <c r="I8" s="556" t="n"/>
      <c r="J8" s="556" t="n"/>
      <c r="K8" s="556" t="n"/>
      <c r="L8" s="556" t="n"/>
      <c r="M8" s="556" t="n"/>
      <c r="N8" s="556" t="n"/>
      <c r="O8" s="556" t="n"/>
      <c r="P8" s="556" t="n"/>
      <c r="Q8" s="554" t="n"/>
    </row>
    <row r="9">
      <c r="B9" s="560" t="inlineStr">
        <is>
          <t>The worksheet is protected and behind the scenes data tables are hidden to prevent accidental overwriting of formulas and data, but there is no password on the protection.</t>
        </is>
      </c>
      <c r="C9" s="323" t="n"/>
      <c r="D9" s="556" t="n"/>
      <c r="E9" s="556" t="n"/>
      <c r="F9" s="556" t="n"/>
      <c r="G9" s="556" t="n"/>
      <c r="H9" s="556" t="n"/>
      <c r="I9" s="556" t="n"/>
      <c r="J9" s="556" t="n"/>
      <c r="K9" s="556" t="n"/>
      <c r="L9" s="556" t="n"/>
      <c r="M9" s="556" t="n"/>
      <c r="N9" s="556" t="n"/>
      <c r="O9" s="556" t="n"/>
      <c r="P9" s="556" t="n"/>
      <c r="Q9" s="554" t="n"/>
    </row>
    <row r="10">
      <c r="B10" s="560" t="n"/>
      <c r="C10" s="323" t="n"/>
      <c r="D10" s="556" t="n"/>
      <c r="E10" s="556" t="n"/>
      <c r="F10" s="556" t="n"/>
      <c r="G10" s="556" t="n"/>
      <c r="H10" s="556" t="n"/>
      <c r="I10" s="556" t="n"/>
      <c r="J10" s="556" t="n"/>
      <c r="K10" s="556" t="n"/>
      <c r="L10" s="556" t="n"/>
      <c r="M10" s="556" t="n"/>
      <c r="N10" s="556" t="n"/>
      <c r="O10" s="556" t="n"/>
      <c r="P10" s="556" t="n"/>
      <c r="Q10" s="554" t="n"/>
    </row>
    <row r="11">
      <c r="B11" s="560" t="inlineStr">
        <is>
          <t xml:space="preserve">I developed and use this spreadsheet at a screen resolution of 1600 x 900. My goal was to keep everything as compact as possible, and allow for viewing with no side-to-side </t>
        </is>
      </c>
      <c r="C11" s="323" t="n"/>
      <c r="D11" s="556" t="n"/>
      <c r="E11" s="556" t="n"/>
      <c r="F11" s="556" t="n"/>
      <c r="G11" s="556" t="n"/>
      <c r="H11" s="556" t="n"/>
      <c r="I11" s="556" t="n"/>
      <c r="J11" s="556" t="n"/>
      <c r="K11" s="556" t="n"/>
      <c r="L11" s="556" t="n"/>
      <c r="M11" s="556" t="n"/>
      <c r="N11" s="556" t="n"/>
      <c r="O11" s="556" t="n"/>
      <c r="P11" s="556" t="n"/>
      <c r="Q11" s="554" t="n"/>
    </row>
    <row r="12">
      <c r="B12" s="560" t="inlineStr">
        <is>
          <t>scrolling. If you are using a lower resolution, you wil see less at one time, and may have to deal with scrolling side-to-side.</t>
        </is>
      </c>
      <c r="C12" s="323" t="n"/>
      <c r="D12" s="556" t="n"/>
      <c r="E12" s="556" t="n"/>
      <c r="F12" s="556" t="n"/>
      <c r="G12" s="556" t="n"/>
      <c r="H12" s="556" t="n"/>
      <c r="I12" s="556" t="n"/>
      <c r="J12" s="556" t="n"/>
      <c r="K12" s="556" t="n"/>
      <c r="L12" s="556" t="n"/>
      <c r="M12" s="556" t="n"/>
      <c r="N12" s="556" t="n"/>
      <c r="O12" s="556" t="n"/>
      <c r="P12" s="556" t="n"/>
      <c r="Q12" s="554" t="n"/>
    </row>
    <row r="13">
      <c r="B13" s="560" t="n"/>
      <c r="C13" s="323" t="n"/>
      <c r="D13" s="556" t="n"/>
      <c r="E13" s="556" t="n"/>
      <c r="F13" s="556" t="n"/>
      <c r="G13" s="556" t="n"/>
      <c r="H13" s="556" t="n"/>
      <c r="I13" s="556" t="n"/>
      <c r="J13" s="556" t="n"/>
      <c r="K13" s="556" t="n"/>
      <c r="L13" s="556" t="n"/>
      <c r="M13" s="556" t="n"/>
      <c r="N13" s="556" t="n"/>
      <c r="O13" s="556" t="n"/>
      <c r="P13" s="556" t="n"/>
      <c r="Q13" s="554" t="n"/>
    </row>
    <row r="14">
      <c r="B14" s="560" t="inlineStr">
        <is>
          <t>Even though protection is enabled to preserve formulas and data, this does not interfere with basic formatting.</t>
        </is>
      </c>
      <c r="C14" s="323" t="n"/>
      <c r="D14" s="556" t="n"/>
      <c r="E14" s="556" t="n"/>
      <c r="F14" s="556" t="n"/>
      <c r="G14" s="556" t="n"/>
      <c r="H14" s="556" t="n"/>
      <c r="I14" s="556" t="n"/>
      <c r="J14" s="556" t="n"/>
      <c r="K14" s="556" t="n"/>
      <c r="L14" s="556" t="n"/>
      <c r="M14" s="556" t="n"/>
      <c r="N14" s="556" t="n"/>
      <c r="O14" s="556" t="n"/>
      <c r="P14" s="556" t="n"/>
      <c r="Q14" s="554" t="n"/>
    </row>
    <row r="15">
      <c r="B15" s="560" t="inlineStr">
        <is>
          <t>You can change colors, add borders, insert comments, resize or hide rows and columns without disabling protection.</t>
        </is>
      </c>
      <c r="C15" s="323" t="n"/>
      <c r="D15" s="556" t="n"/>
      <c r="E15" s="556" t="n"/>
      <c r="F15" s="556" t="n"/>
      <c r="G15" s="556" t="n"/>
      <c r="H15" s="556" t="n"/>
      <c r="I15" s="556" t="n"/>
      <c r="J15" s="556" t="n"/>
      <c r="K15" s="556" t="n"/>
      <c r="L15" s="556" t="n"/>
      <c r="M15" s="556" t="n"/>
      <c r="N15" s="556" t="n"/>
      <c r="O15" s="556" t="n"/>
      <c r="P15" s="556" t="n"/>
      <c r="Q15" s="554" t="n"/>
    </row>
    <row r="16">
      <c r="B16" s="560" t="n"/>
      <c r="C16" s="323" t="n"/>
      <c r="D16" s="556" t="n"/>
      <c r="E16" s="556" t="n"/>
      <c r="F16" s="556" t="n"/>
      <c r="G16" s="556" t="n"/>
      <c r="H16" s="556" t="n"/>
      <c r="I16" s="556" t="n"/>
      <c r="J16" s="556" t="n"/>
      <c r="K16" s="556" t="n"/>
      <c r="L16" s="556" t="n"/>
      <c r="M16" s="556" t="n"/>
      <c r="N16" s="556" t="n"/>
      <c r="O16" s="556" t="n"/>
      <c r="P16" s="556" t="n"/>
      <c r="Q16" s="554" t="n"/>
    </row>
    <row r="17">
      <c r="B17" s="606" t="inlineStr">
        <is>
          <t>Excel Requirements:</t>
        </is>
      </c>
      <c r="C17" s="323" t="n"/>
      <c r="D17" s="556" t="n"/>
      <c r="E17" s="556" t="n"/>
      <c r="F17" s="556" t="n"/>
      <c r="G17" s="556" t="n"/>
      <c r="H17" s="556" t="n"/>
      <c r="I17" s="556" t="n"/>
      <c r="J17" s="556" t="n"/>
      <c r="K17" s="556" t="n"/>
      <c r="L17" s="556" t="n"/>
      <c r="M17" s="556" t="n"/>
      <c r="N17" s="556" t="n"/>
      <c r="O17" s="556" t="n"/>
      <c r="P17" s="556" t="n"/>
      <c r="Q17" s="554" t="n"/>
    </row>
    <row r="18">
      <c r="B18" s="560" t="inlineStr">
        <is>
          <t>This workbook is in .xlsm format, which means  A) It's macro enabled, and  B) It requires Excel version 2007 or newer.  Keep this in mind if you give this spreadsheet to a friend with a very old computer.</t>
        </is>
      </c>
      <c r="C18" s="323" t="n"/>
      <c r="D18" s="556" t="n"/>
      <c r="E18" s="556" t="n"/>
      <c r="F18" s="556" t="n"/>
      <c r="G18" s="556" t="n"/>
      <c r="H18" s="556" t="n"/>
      <c r="I18" s="556" t="n"/>
      <c r="J18" s="556" t="n"/>
      <c r="K18" s="556" t="n"/>
      <c r="L18" s="556" t="n"/>
      <c r="M18" s="556" t="n"/>
      <c r="N18" s="556" t="n"/>
      <c r="O18" s="556" t="n"/>
      <c r="P18" s="556" t="n"/>
      <c r="Q18" s="554" t="n"/>
    </row>
    <row r="19">
      <c r="B19" s="560" t="inlineStr">
        <is>
          <t xml:space="preserve">The workbook can be "Saved As" to the older .xls format, which should run on older versions of Excel. However, when saved under that format, Excel issues a warning about "Minor Loss of Fidelity". </t>
        </is>
      </c>
      <c r="C19" s="323" t="n"/>
      <c r="D19" s="556" t="n"/>
      <c r="E19" s="556" t="n"/>
      <c r="F19" s="556" t="n"/>
      <c r="G19" s="556" t="n"/>
      <c r="H19" s="556" t="n"/>
      <c r="I19" s="556" t="n"/>
      <c r="J19" s="556" t="n"/>
      <c r="K19" s="556" t="n"/>
      <c r="L19" s="556" t="n"/>
      <c r="M19" s="556" t="n"/>
      <c r="N19" s="556" t="n"/>
      <c r="O19" s="556" t="n"/>
      <c r="P19" s="556" t="n"/>
      <c r="Q19" s="554" t="n"/>
    </row>
    <row r="20">
      <c r="B20" s="560" t="inlineStr">
        <is>
          <t>The message goes on to say there are some cells with formatting that is not compatible with older versions Excel. The spreadsheet should still function, but may not look exactly as it should.</t>
        </is>
      </c>
      <c r="C20" s="323" t="n"/>
      <c r="D20" s="556" t="n"/>
      <c r="E20" s="556" t="n"/>
      <c r="F20" s="556" t="n"/>
      <c r="G20" s="556" t="n"/>
      <c r="H20" s="556" t="n"/>
      <c r="I20" s="556" t="n"/>
      <c r="J20" s="556" t="n"/>
      <c r="K20" s="556" t="n"/>
      <c r="L20" s="556" t="n"/>
      <c r="M20" s="556" t="n"/>
      <c r="N20" s="556" t="n"/>
      <c r="O20" s="556" t="n"/>
      <c r="P20" s="556" t="n"/>
      <c r="Q20" s="554" t="n"/>
    </row>
    <row r="21">
      <c r="B21" s="609" t="n"/>
      <c r="C21" s="564" t="n"/>
      <c r="D21" s="565" t="n"/>
      <c r="E21" s="565" t="n"/>
      <c r="F21" s="565" t="n"/>
      <c r="G21" s="565" t="n"/>
      <c r="H21" s="565" t="n"/>
      <c r="I21" s="565" t="n"/>
      <c r="J21" s="565" t="n"/>
      <c r="K21" s="565" t="n"/>
      <c r="L21" s="565" t="n"/>
      <c r="M21" s="565" t="n"/>
      <c r="N21" s="565" t="n"/>
      <c r="O21" s="565" t="n"/>
      <c r="P21" s="565" t="n"/>
      <c r="Q21" s="566" t="n"/>
    </row>
    <row r="22">
      <c r="B22" s="560" t="n"/>
      <c r="C22" s="323" t="n"/>
      <c r="D22" s="556" t="n"/>
      <c r="E22" s="556" t="n"/>
      <c r="F22" s="556" t="n"/>
      <c r="G22" s="556" t="n"/>
      <c r="H22" s="556" t="n"/>
      <c r="I22" s="556" t="n"/>
      <c r="J22" s="556" t="n"/>
      <c r="K22" s="556" t="n"/>
      <c r="L22" s="556" t="n"/>
      <c r="M22" s="556" t="n"/>
      <c r="N22" s="556" t="n"/>
      <c r="O22" s="556" t="n"/>
      <c r="P22" s="556" t="n"/>
      <c r="Q22" s="554" t="n"/>
    </row>
    <row customHeight="1" ht="15.75" r="23" s="663">
      <c r="B23" s="607" t="inlineStr">
        <is>
          <t>Main Section:</t>
        </is>
      </c>
      <c r="C23" s="323" t="n"/>
      <c r="D23" s="556" t="n"/>
      <c r="E23" s="556" t="n"/>
      <c r="F23" s="556" t="n"/>
      <c r="G23" s="556" t="n"/>
      <c r="H23" s="556" t="n"/>
      <c r="I23" s="556" t="n"/>
      <c r="J23" s="556" t="n"/>
      <c r="K23" s="556" t="n"/>
      <c r="L23" s="556" t="n"/>
      <c r="M23" s="556" t="n"/>
      <c r="N23" s="556" t="n"/>
      <c r="O23" s="556" t="n"/>
      <c r="P23" s="556" t="n"/>
      <c r="Q23" s="554" t="n"/>
    </row>
    <row r="24">
      <c r="B24" s="560" t="inlineStr">
        <is>
          <t>Enter your height &amp; weight, HRmax, resting heart rate, and a recent race performance (or best guestimate) in the fields in the upper-left corner of the worksheet.</t>
        </is>
      </c>
      <c r="C24" s="323" t="n"/>
      <c r="D24" s="556" t="n"/>
      <c r="E24" s="556" t="n"/>
      <c r="F24" s="556" t="n"/>
      <c r="G24" s="556" t="n"/>
      <c r="H24" s="556" t="n"/>
      <c r="I24" s="556" t="n"/>
      <c r="J24" s="556" t="n"/>
      <c r="K24" s="556" t="n"/>
      <c r="L24" s="556" t="n"/>
      <c r="M24" s="556" t="n"/>
      <c r="N24" s="556" t="n"/>
      <c r="O24" s="556" t="n"/>
      <c r="P24" s="556" t="n"/>
      <c r="Q24" s="554" t="n"/>
    </row>
    <row r="25">
      <c r="B25" s="560" t="inlineStr">
        <is>
          <t>*Note: The metric checkbox option here is for height and weight only.  Other tables in the worksheet have independent options to switch to metric.</t>
        </is>
      </c>
      <c r="C25" s="323" t="n"/>
      <c r="D25" s="556" t="n"/>
      <c r="E25" s="556" t="n"/>
      <c r="F25" s="556" t="n"/>
      <c r="G25" s="556" t="n"/>
      <c r="H25" s="556" t="n"/>
      <c r="I25" s="556" t="n"/>
      <c r="J25" s="556" t="n"/>
      <c r="K25" s="556" t="n"/>
      <c r="L25" s="556" t="n"/>
      <c r="M25" s="556" t="n"/>
      <c r="N25" s="556" t="n"/>
      <c r="O25" s="556" t="n"/>
      <c r="P25" s="556" t="n"/>
      <c r="Q25" s="554" t="n"/>
    </row>
    <row r="26">
      <c r="B26" s="560" t="n"/>
      <c r="C26" s="323" t="n"/>
      <c r="D26" s="556" t="n"/>
      <c r="E26" s="556" t="n"/>
      <c r="F26" s="556" t="n"/>
      <c r="G26" s="556" t="n"/>
      <c r="H26" s="556" t="n"/>
      <c r="I26" s="556" t="n"/>
      <c r="J26" s="556" t="n"/>
      <c r="K26" s="556" t="n"/>
      <c r="L26" s="556" t="n"/>
      <c r="M26" s="556" t="n"/>
      <c r="N26" s="556" t="n"/>
      <c r="O26" s="556" t="n"/>
      <c r="P26" s="556" t="n"/>
      <c r="Q26" s="554" t="n"/>
    </row>
    <row r="27">
      <c r="B27" s="560" t="inlineStr">
        <is>
          <t>You can choose from seven common racing distances listed in the drop down, or you can use the Custom Distance option to enter *any* distance.</t>
        </is>
      </c>
      <c r="C27" s="323" t="n"/>
      <c r="D27" s="556" t="n"/>
      <c r="E27" s="556" t="n"/>
      <c r="F27" s="556" t="n"/>
      <c r="G27" s="556" t="n"/>
      <c r="H27" s="556" t="n"/>
      <c r="I27" s="556" t="n"/>
      <c r="J27" s="556" t="n"/>
      <c r="K27" s="556" t="n"/>
      <c r="L27" s="556" t="n"/>
      <c r="M27" s="556" t="n"/>
      <c r="N27" s="556" t="n"/>
      <c r="O27" s="556" t="n"/>
      <c r="P27" s="556" t="n"/>
      <c r="Q27" s="554" t="n"/>
    </row>
    <row r="28">
      <c r="B28" s="560" t="inlineStr">
        <is>
          <t>When using the Custom Distance option, the distance does not need to be a recognized race distance. You can enter values such as 3.5 km, or 5.6 miles.</t>
        </is>
      </c>
      <c r="C28" s="323" t="n"/>
      <c r="D28" s="556" t="n"/>
      <c r="E28" s="556" t="n"/>
      <c r="F28" s="556" t="n"/>
      <c r="G28" s="556" t="n"/>
      <c r="H28" s="556" t="n"/>
      <c r="I28" s="556" t="n"/>
      <c r="J28" s="556" t="n"/>
      <c r="K28" s="556" t="n"/>
      <c r="L28" s="556" t="n"/>
      <c r="M28" s="556" t="n"/>
      <c r="N28" s="556" t="n"/>
      <c r="O28" s="556" t="n"/>
      <c r="P28" s="556" t="n"/>
      <c r="Q28" s="554" t="n"/>
    </row>
    <row r="29">
      <c r="B29" s="560" t="inlineStr">
        <is>
          <t>When a non-recognized Custom Distance is entered, the Peak Performance sections will reflect "No Std", since there are no standards available for Custom distances.</t>
        </is>
      </c>
      <c r="C29" s="323" t="n"/>
      <c r="D29" s="556" t="n"/>
      <c r="E29" s="556" t="n"/>
      <c r="F29" s="556" t="n"/>
      <c r="G29" s="556" t="n"/>
      <c r="H29" s="556" t="n"/>
      <c r="I29" s="556" t="n"/>
      <c r="J29" s="556" t="n"/>
      <c r="K29" s="556" t="n"/>
      <c r="L29" s="556" t="n"/>
      <c r="M29" s="556" t="n"/>
      <c r="N29" s="556" t="n"/>
      <c r="O29" s="556" t="n"/>
      <c r="P29" s="556" t="n"/>
      <c r="Q29" s="554" t="n"/>
    </row>
    <row r="30">
      <c r="B30" s="560" t="inlineStr">
        <is>
          <t>When entering times, the format h:mm:ss must be used. Hours must be entered, even if zero.  An example 5k time would be  0:25:42.</t>
        </is>
      </c>
      <c r="C30" s="323" t="n"/>
      <c r="D30" s="556" t="n"/>
      <c r="E30" s="556" t="n"/>
      <c r="F30" s="556" t="n"/>
      <c r="G30" s="556" t="n"/>
      <c r="H30" s="556" t="n"/>
      <c r="I30" s="556" t="n"/>
      <c r="J30" s="556" t="n"/>
      <c r="K30" s="556" t="n"/>
      <c r="L30" s="556" t="n"/>
      <c r="M30" s="556" t="n"/>
      <c r="N30" s="556" t="n"/>
      <c r="O30" s="556" t="n"/>
      <c r="P30" s="556" t="n"/>
      <c r="Q30" s="554" t="n"/>
    </row>
    <row r="31">
      <c r="B31" s="560" t="n"/>
      <c r="C31" s="323" t="n"/>
      <c r="D31" s="556" t="n"/>
      <c r="E31" s="556" t="n"/>
      <c r="F31" s="556" t="n"/>
      <c r="G31" s="556" t="n"/>
      <c r="H31" s="556" t="n"/>
      <c r="I31" s="556" t="n"/>
      <c r="J31" s="556" t="n"/>
      <c r="K31" s="556" t="n"/>
      <c r="L31" s="556" t="n"/>
      <c r="M31" s="556" t="n"/>
      <c r="N31" s="556" t="n"/>
      <c r="O31" s="556" t="n"/>
      <c r="P31" s="556" t="n"/>
      <c r="Q31" s="554" t="n"/>
    </row>
    <row r="32">
      <c r="B32" s="560" t="inlineStr">
        <is>
          <t>Using this information, training paces and racing equivalents are calculated for various workouts and distances, along with a fitness adjusted Heart Rate profile.</t>
        </is>
      </c>
      <c r="C32" s="323" t="n"/>
      <c r="D32" s="556" t="n"/>
      <c r="E32" s="556" t="n"/>
      <c r="F32" s="556" t="n"/>
      <c r="G32" s="556" t="n"/>
      <c r="H32" s="556" t="n"/>
      <c r="I32" s="556" t="n"/>
      <c r="J32" s="556" t="n"/>
      <c r="K32" s="556" t="n"/>
      <c r="L32" s="556" t="n"/>
      <c r="M32" s="556" t="n"/>
      <c r="N32" s="556" t="n"/>
      <c r="O32" s="556" t="n"/>
      <c r="P32" s="556" t="n"/>
      <c r="Q32" s="554" t="n"/>
    </row>
    <row r="33">
      <c r="B33" s="560" t="inlineStr">
        <is>
          <t xml:space="preserve">The HR estimates do not represent an average over the entire distance. They reflect what one might expect to maintain at a steady state after the first mile or two. </t>
        </is>
      </c>
      <c r="C33" s="323" t="n"/>
      <c r="D33" s="556" t="n"/>
      <c r="E33" s="556" t="n"/>
      <c r="F33" s="556" t="n"/>
      <c r="G33" s="556" t="n"/>
      <c r="H33" s="556" t="n"/>
      <c r="I33" s="556" t="n"/>
      <c r="J33" s="556" t="n"/>
      <c r="K33" s="556" t="n"/>
      <c r="L33" s="556" t="n"/>
      <c r="M33" s="556" t="n"/>
      <c r="N33" s="556" t="n"/>
      <c r="O33" s="556" t="n"/>
      <c r="P33" s="556" t="n"/>
      <c r="Q33" s="554" t="n"/>
    </row>
    <row r="34">
      <c r="B34" s="560" t="inlineStr">
        <is>
          <t xml:space="preserve">Daniels' Intensity Points are also calculated for various distances. </t>
        </is>
      </c>
      <c r="C34" s="323" t="n"/>
      <c r="D34" s="556" t="n"/>
      <c r="E34" s="556" t="n"/>
      <c r="F34" s="556" t="n"/>
      <c r="G34" s="556" t="n"/>
      <c r="H34" s="556" t="n"/>
      <c r="I34" s="556" t="n"/>
      <c r="J34" s="556" t="n"/>
      <c r="K34" s="556" t="n"/>
      <c r="L34" s="556" t="n"/>
      <c r="M34" s="556" t="n"/>
      <c r="N34" s="556" t="n"/>
      <c r="O34" s="556" t="n"/>
      <c r="P34" s="556" t="n"/>
      <c r="Q34" s="554" t="n"/>
    </row>
    <row r="35">
      <c r="B35" s="560" t="n"/>
      <c r="C35" s="323" t="n"/>
      <c r="D35" s="556" t="n"/>
      <c r="E35" s="556" t="n"/>
      <c r="F35" s="556" t="n"/>
      <c r="G35" s="556" t="n"/>
      <c r="H35" s="556" t="n"/>
      <c r="I35" s="556" t="n"/>
      <c r="J35" s="556" t="n"/>
      <c r="K35" s="556" t="n"/>
      <c r="L35" s="556" t="n"/>
      <c r="M35" s="556" t="n"/>
      <c r="N35" s="556" t="n"/>
      <c r="O35" s="556" t="n"/>
      <c r="P35" s="556" t="n"/>
      <c r="Q35" s="554" t="n"/>
    </row>
    <row r="36">
      <c r="B36" s="560" t="inlineStr">
        <is>
          <t xml:space="preserve">More fit runners can maintain a higher HR over a given race distance than less fit runners, and this is reflected in the heart rate profile.  For example, </t>
        </is>
      </c>
      <c r="C36" s="323" t="n"/>
      <c r="D36" s="556" t="n"/>
      <c r="E36" s="556" t="n"/>
      <c r="F36" s="556" t="n"/>
      <c r="G36" s="556" t="n"/>
      <c r="H36" s="556" t="n"/>
      <c r="I36" s="556" t="n"/>
      <c r="J36" s="556" t="n"/>
      <c r="K36" s="556" t="n"/>
      <c r="L36" s="556" t="n"/>
      <c r="M36" s="556" t="n"/>
      <c r="N36" s="556" t="n"/>
      <c r="O36" s="556" t="n"/>
      <c r="P36" s="556" t="n"/>
      <c r="Q36" s="554" t="n"/>
    </row>
    <row r="37">
      <c r="B37" s="560" t="inlineStr">
        <is>
          <t xml:space="preserve">an elite runner may be able to run a marathon at 87-89% of HRmax, while a novice may only be able to maintain 80-82% of Hrmax, or less.  There are several factors </t>
        </is>
      </c>
      <c r="C37" s="323" t="n"/>
      <c r="D37" s="556" t="n"/>
      <c r="E37" s="556" t="n"/>
      <c r="F37" s="556" t="n"/>
      <c r="G37" s="556" t="n"/>
      <c r="H37" s="556" t="n"/>
      <c r="I37" s="556" t="n"/>
      <c r="J37" s="556" t="n"/>
      <c r="K37" s="556" t="n"/>
      <c r="L37" s="556" t="n"/>
      <c r="M37" s="556" t="n"/>
      <c r="N37" s="556" t="n"/>
      <c r="O37" s="556" t="n"/>
      <c r="P37" s="556" t="n"/>
      <c r="Q37" s="554" t="n"/>
    </row>
    <row r="38">
      <c r="B38" s="560" t="inlineStr">
        <is>
          <t>impacting this, including of course fitness level. But it's also due to the fact that time spent running is a significant factor with relation to maintaining a particular heart rate.</t>
        </is>
      </c>
      <c r="C38" s="323" t="n"/>
      <c r="D38" s="556" t="n"/>
      <c r="E38" s="556" t="n"/>
      <c r="F38" s="556" t="n"/>
      <c r="G38" s="556" t="n"/>
      <c r="H38" s="556" t="n"/>
      <c r="I38" s="556" t="n"/>
      <c r="J38" s="556" t="n"/>
      <c r="K38" s="556" t="n"/>
      <c r="L38" s="556" t="n"/>
      <c r="M38" s="556" t="n"/>
      <c r="N38" s="556" t="n"/>
      <c r="O38" s="556" t="n"/>
      <c r="P38" s="556" t="n"/>
      <c r="Q38" s="554" t="n"/>
    </row>
    <row r="39">
      <c r="B39" s="560" t="inlineStr">
        <is>
          <t>A slower runner must ration his/her energy over a longer period of time, therefore needs to run at a lower effort to complete the distance.</t>
        </is>
      </c>
      <c r="C39" s="323" t="n"/>
      <c r="D39" s="556" t="n"/>
      <c r="E39" s="556" t="n"/>
      <c r="F39" s="556" t="n"/>
      <c r="G39" s="556" t="n"/>
      <c r="H39" s="556" t="n"/>
      <c r="I39" s="556" t="n"/>
      <c r="J39" s="556" t="n"/>
      <c r="K39" s="556" t="n"/>
      <c r="L39" s="556" t="n"/>
      <c r="M39" s="556" t="n"/>
      <c r="N39" s="556" t="n"/>
      <c r="O39" s="556" t="n"/>
      <c r="P39" s="556" t="n"/>
      <c r="Q39" s="554" t="n"/>
    </row>
    <row r="40">
      <c r="B40" s="560" t="inlineStr">
        <is>
          <t xml:space="preserve">To accommodate individual variations, there's a Heart Rate Tweak Factor offering three setting options (Lower, Medium, Higher) to better align the HR calculations to each individual runner. </t>
        </is>
      </c>
      <c r="C40" s="323" t="n"/>
      <c r="D40" s="556" t="n"/>
      <c r="E40" s="556" t="n"/>
      <c r="F40" s="556" t="n"/>
      <c r="G40" s="556" t="n"/>
      <c r="H40" s="556" t="n"/>
      <c r="I40" s="556" t="n"/>
      <c r="J40" s="556" t="n"/>
      <c r="K40" s="556" t="n"/>
      <c r="L40" s="556" t="n"/>
      <c r="M40" s="556" t="n"/>
      <c r="N40" s="556" t="n"/>
      <c r="O40" s="556" t="n"/>
      <c r="P40" s="556" t="n"/>
      <c r="Q40" s="554" t="n"/>
    </row>
    <row r="41">
      <c r="B41" s="560" t="n"/>
      <c r="C41" s="323" t="n"/>
      <c r="D41" s="556" t="n"/>
      <c r="E41" s="556" t="n"/>
      <c r="F41" s="556" t="n"/>
      <c r="G41" s="556" t="n"/>
      <c r="H41" s="556" t="n"/>
      <c r="I41" s="556" t="n"/>
      <c r="J41" s="556" t="n"/>
      <c r="K41" s="556" t="n"/>
      <c r="L41" s="556" t="n"/>
      <c r="M41" s="556" t="n"/>
      <c r="N41" s="556" t="n"/>
      <c r="O41" s="556" t="n"/>
      <c r="P41" s="556" t="n"/>
      <c r="Q41" s="554" t="n"/>
    </row>
    <row r="42">
      <c r="B42" s="606" t="inlineStr">
        <is>
          <t>Age Group Percent Score (AGP):</t>
        </is>
      </c>
      <c r="C42" s="323" t="n"/>
      <c r="D42" s="556" t="n"/>
      <c r="E42" s="556" t="n"/>
      <c r="F42" s="556" t="n"/>
      <c r="G42" s="556" t="n"/>
      <c r="H42" s="556" t="n"/>
      <c r="I42" s="556" t="n"/>
      <c r="J42" s="556" t="n"/>
      <c r="K42" s="556" t="n"/>
      <c r="L42" s="556" t="n"/>
      <c r="M42" s="556" t="n"/>
      <c r="N42" s="556" t="n"/>
      <c r="O42" s="556" t="n"/>
      <c r="P42" s="556" t="n"/>
      <c r="Q42" s="554" t="n"/>
    </row>
    <row r="43">
      <c r="B43" s="560" t="inlineStr">
        <is>
          <t>Using the 2015 WMA and USATF approved Age Grade Tables, this calculation compares the input time to the world record, factoring in age and sex, and produces a percentage score.</t>
        </is>
      </c>
      <c r="C43" s="323" t="n"/>
      <c r="D43" s="556" t="n"/>
      <c r="E43" s="556" t="n"/>
      <c r="F43" s="556" t="n"/>
      <c r="G43" s="556" t="n"/>
      <c r="H43" s="556" t="n"/>
      <c r="I43" s="556" t="n"/>
      <c r="J43" s="556" t="n"/>
      <c r="K43" s="556" t="n"/>
      <c r="L43" s="556" t="n"/>
      <c r="M43" s="556" t="n"/>
      <c r="N43" s="556" t="n"/>
      <c r="O43" s="556" t="n"/>
      <c r="P43" s="556" t="n"/>
      <c r="Q43" s="554" t="n"/>
    </row>
    <row r="44">
      <c r="B44" s="560" t="inlineStr">
        <is>
          <t>Higher scores reflect better performances. A score of 100% would represent a world record performance for the Age Group, while a score greater than 100% would imply a record setting performance.</t>
        </is>
      </c>
      <c r="C44" s="323" t="n"/>
      <c r="D44" s="556" t="n"/>
      <c r="E44" s="556" t="n"/>
      <c r="F44" s="556" t="n"/>
      <c r="G44" s="556" t="n"/>
      <c r="H44" s="556" t="n"/>
      <c r="I44" s="556" t="n"/>
      <c r="J44" s="556" t="n"/>
      <c r="K44" s="556" t="n"/>
      <c r="L44" s="556" t="n"/>
      <c r="M44" s="556" t="n"/>
      <c r="N44" s="556" t="n"/>
      <c r="O44" s="556" t="n"/>
      <c r="P44" s="556" t="n"/>
      <c r="Q44" s="554" t="n"/>
    </row>
    <row r="45">
      <c r="B45" s="560" t="inlineStr">
        <is>
          <t>These calculations are approximations, and shouldn't be taken as absolutes. Due to rounding and averaging these results may differ slightly from other similar calculators.</t>
        </is>
      </c>
      <c r="C45" s="323" t="n"/>
      <c r="D45" s="556" t="n"/>
      <c r="E45" s="556" t="n"/>
      <c r="F45" s="556" t="n"/>
      <c r="G45" s="556" t="n"/>
      <c r="H45" s="556" t="n"/>
      <c r="I45" s="556" t="n"/>
      <c r="J45" s="556" t="n"/>
      <c r="K45" s="556" t="n"/>
      <c r="L45" s="556" t="n"/>
      <c r="M45" s="556" t="n"/>
      <c r="N45" s="556" t="n"/>
      <c r="O45" s="556" t="n"/>
      <c r="P45" s="556" t="n"/>
      <c r="Q45" s="554" t="n"/>
    </row>
    <row r="46">
      <c r="B46" s="560" t="n"/>
      <c r="C46" s="323" t="n"/>
      <c r="D46" s="556" t="n"/>
      <c r="E46" s="556" t="n"/>
      <c r="F46" s="556" t="n"/>
      <c r="G46" s="556" t="n"/>
      <c r="H46" s="556" t="n"/>
      <c r="I46" s="556" t="n"/>
      <c r="J46" s="556" t="n"/>
      <c r="K46" s="556" t="n"/>
      <c r="L46" s="556" t="n"/>
      <c r="M46" s="556" t="n"/>
      <c r="N46" s="556" t="n"/>
      <c r="O46" s="556" t="n"/>
      <c r="P46" s="556" t="n"/>
      <c r="Q46" s="554" t="n"/>
    </row>
    <row r="47">
      <c r="B47" s="658" t="inlineStr">
        <is>
          <t>The WMA gives the following guidelines for scores:</t>
        </is>
      </c>
      <c r="C47" s="323" t="n"/>
      <c r="D47" s="556" t="n"/>
      <c r="E47" s="556" t="n"/>
      <c r="F47" s="556" t="n"/>
      <c r="G47" s="556" t="n"/>
      <c r="H47" s="556" t="n"/>
      <c r="I47" s="556" t="n"/>
      <c r="J47" s="556" t="n"/>
      <c r="K47" s="556" t="n"/>
      <c r="L47" s="556" t="n"/>
      <c r="M47" s="556" t="n"/>
      <c r="N47" s="556" t="n"/>
      <c r="O47" s="556" t="n"/>
      <c r="P47" s="556" t="n"/>
      <c r="Q47" s="554" t="n"/>
    </row>
    <row r="48">
      <c r="B48" s="560" t="inlineStr">
        <is>
          <t>100% - Approximate World Record Level</t>
        </is>
      </c>
      <c r="C48" s="323" t="n"/>
      <c r="D48" s="556" t="n"/>
      <c r="E48" s="556" t="n"/>
      <c r="F48" s="556" t="n"/>
      <c r="G48" s="556" t="n"/>
      <c r="H48" s="556" t="n"/>
      <c r="I48" s="556" t="n"/>
      <c r="J48" s="556" t="n"/>
      <c r="K48" s="556" t="n"/>
      <c r="L48" s="556" t="n"/>
      <c r="M48" s="556" t="n"/>
      <c r="N48" s="556" t="n"/>
      <c r="O48" s="556" t="n"/>
      <c r="P48" s="556" t="n"/>
      <c r="Q48" s="554" t="n"/>
    </row>
    <row r="49">
      <c r="B49" s="560" t="inlineStr">
        <is>
          <t>&gt;90% - World Class Level</t>
        </is>
      </c>
      <c r="C49" s="323" t="n"/>
      <c r="D49" s="556" t="n"/>
      <c r="E49" s="556" t="n"/>
      <c r="F49" s="556" t="n"/>
      <c r="G49" s="556" t="n"/>
      <c r="H49" s="556" t="n"/>
      <c r="I49" s="556" t="n"/>
      <c r="J49" s="556" t="n"/>
      <c r="K49" s="556" t="n"/>
      <c r="L49" s="556" t="n"/>
      <c r="M49" s="556" t="n"/>
      <c r="N49" s="556" t="n"/>
      <c r="O49" s="556" t="n"/>
      <c r="P49" s="556" t="n"/>
      <c r="Q49" s="554" t="n"/>
    </row>
    <row r="50">
      <c r="B50" s="560" t="inlineStr">
        <is>
          <t>&gt;80% - National Class Level</t>
        </is>
      </c>
      <c r="C50" s="323" t="n"/>
      <c r="D50" s="556" t="n"/>
      <c r="E50" s="556" t="n"/>
      <c r="F50" s="556" t="n"/>
      <c r="G50" s="556" t="n"/>
      <c r="H50" s="556" t="n"/>
      <c r="I50" s="556" t="n"/>
      <c r="J50" s="556" t="n"/>
      <c r="K50" s="556" t="n"/>
      <c r="L50" s="556" t="n"/>
      <c r="M50" s="556" t="n"/>
      <c r="N50" s="556" t="n"/>
      <c r="O50" s="556" t="n"/>
      <c r="P50" s="556" t="n"/>
      <c r="Q50" s="554" t="n"/>
    </row>
    <row r="51">
      <c r="B51" s="560" t="inlineStr">
        <is>
          <t>&gt;70% - Regional Class Level</t>
        </is>
      </c>
      <c r="C51" s="323" t="n"/>
      <c r="D51" s="556" t="n"/>
      <c r="E51" s="556" t="n"/>
      <c r="F51" s="556" t="n"/>
      <c r="G51" s="556" t="n"/>
      <c r="H51" s="556" t="n"/>
      <c r="I51" s="556" t="n"/>
      <c r="J51" s="556" t="n"/>
      <c r="K51" s="556" t="n"/>
      <c r="L51" s="556" t="n"/>
      <c r="M51" s="556" t="n"/>
      <c r="N51" s="556" t="n"/>
      <c r="O51" s="556" t="n"/>
      <c r="P51" s="556" t="n"/>
      <c r="Q51" s="554" t="n"/>
    </row>
    <row r="52">
      <c r="B52" s="560" t="inlineStr">
        <is>
          <t>&gt;60% - Local Class Level</t>
        </is>
      </c>
      <c r="C52" s="323" t="n"/>
      <c r="D52" s="556" t="n"/>
      <c r="E52" s="556" t="n"/>
      <c r="F52" s="556" t="n"/>
      <c r="G52" s="556" t="n"/>
      <c r="H52" s="556" t="n"/>
      <c r="I52" s="556" t="n"/>
      <c r="J52" s="556" t="n"/>
      <c r="K52" s="556" t="n"/>
      <c r="L52" s="556" t="n"/>
      <c r="M52" s="556" t="n"/>
      <c r="N52" s="556" t="n"/>
      <c r="O52" s="556" t="n"/>
      <c r="P52" s="556" t="n"/>
      <c r="Q52" s="554" t="n"/>
    </row>
    <row r="53">
      <c r="B53" s="560" t="n"/>
      <c r="C53" s="323" t="n"/>
      <c r="D53" s="556" t="n"/>
      <c r="E53" s="556" t="n"/>
      <c r="F53" s="556" t="n"/>
      <c r="G53" s="556" t="n"/>
      <c r="H53" s="556" t="n"/>
      <c r="I53" s="556" t="n"/>
      <c r="J53" s="556" t="n"/>
      <c r="K53" s="556" t="n"/>
      <c r="L53" s="556" t="n"/>
      <c r="M53" s="556" t="n"/>
      <c r="N53" s="556" t="n"/>
      <c r="O53" s="556" t="n"/>
      <c r="P53" s="556" t="n"/>
      <c r="Q53" s="554" t="n"/>
    </row>
    <row r="54">
      <c r="B54" s="606" t="inlineStr">
        <is>
          <t>Peak Potential:</t>
        </is>
      </c>
      <c r="C54" s="323" t="n"/>
      <c r="D54" s="556" t="n"/>
      <c r="E54" s="556" t="n"/>
      <c r="F54" s="556" t="n"/>
      <c r="G54" s="556" t="n"/>
      <c r="H54" s="556" t="n"/>
      <c r="I54" s="556" t="n"/>
      <c r="J54" s="556" t="n"/>
      <c r="K54" s="556" t="n"/>
      <c r="L54" s="556" t="n"/>
      <c r="M54" s="556" t="n"/>
      <c r="N54" s="556" t="n"/>
      <c r="O54" s="556" t="n"/>
      <c r="P54" s="556" t="n"/>
      <c r="Q54" s="554" t="n"/>
    </row>
    <row r="55">
      <c r="B55" s="560" t="inlineStr">
        <is>
          <t>Info from the Peak Potential section lower down in the worksheet is also displayed in the heading of the Main Section,</t>
        </is>
      </c>
      <c r="C55" s="323" t="n"/>
      <c r="D55" s="556" t="n"/>
      <c r="E55" s="556" t="n"/>
      <c r="F55" s="556" t="n"/>
      <c r="G55" s="556" t="n"/>
      <c r="H55" s="556" t="n"/>
      <c r="I55" s="556" t="n"/>
      <c r="J55" s="556" t="n"/>
      <c r="K55" s="556" t="n"/>
      <c r="L55" s="556" t="n"/>
      <c r="M55" s="556" t="n"/>
      <c r="N55" s="556" t="n"/>
      <c r="O55" s="556" t="n"/>
      <c r="P55" s="556" t="n"/>
      <c r="Q55" s="554" t="n"/>
    </row>
    <row r="56">
      <c r="B56" s="560" t="inlineStr">
        <is>
          <t>for more convenient visual access to this hypothetical but interesting calculation. See below for more detals about the Peak Performance calculation.</t>
        </is>
      </c>
      <c r="C56" s="323" t="n"/>
      <c r="D56" s="556" t="n"/>
      <c r="E56" s="556" t="n"/>
      <c r="F56" s="556" t="n"/>
      <c r="G56" s="556" t="n"/>
      <c r="H56" s="556" t="n"/>
      <c r="I56" s="556" t="n"/>
      <c r="J56" s="556" t="n"/>
      <c r="K56" s="556" t="n"/>
      <c r="L56" s="556" t="n"/>
      <c r="M56" s="556" t="n"/>
      <c r="N56" s="556" t="n"/>
      <c r="O56" s="556" t="n"/>
      <c r="P56" s="556" t="n"/>
      <c r="Q56" s="554" t="n"/>
    </row>
    <row r="57">
      <c r="B57" s="560" t="n"/>
      <c r="C57" s="323" t="n"/>
      <c r="D57" s="556" t="n"/>
      <c r="E57" s="556" t="n"/>
      <c r="F57" s="556" t="n"/>
      <c r="G57" s="556" t="n"/>
      <c r="H57" s="556" t="n"/>
      <c r="I57" s="556" t="n"/>
      <c r="J57" s="556" t="n"/>
      <c r="K57" s="556" t="n"/>
      <c r="L57" s="556" t="n"/>
      <c r="M57" s="556" t="n"/>
      <c r="N57" s="556" t="n"/>
      <c r="O57" s="556" t="n"/>
      <c r="P57" s="556" t="n"/>
      <c r="Q57" s="554" t="n"/>
    </row>
    <row r="58">
      <c r="B58" s="606" t="inlineStr">
        <is>
          <t>Hiding Rows:</t>
        </is>
      </c>
      <c r="C58" s="323" t="n"/>
      <c r="D58" s="556" t="n"/>
      <c r="E58" s="556" t="n"/>
      <c r="F58" s="556" t="n"/>
      <c r="G58" s="556" t="n"/>
      <c r="H58" s="556" t="n"/>
      <c r="I58" s="556" t="n"/>
      <c r="J58" s="556" t="n"/>
      <c r="K58" s="556" t="n"/>
      <c r="L58" s="556" t="n"/>
      <c r="M58" s="556" t="n"/>
      <c r="N58" s="556" t="n"/>
      <c r="O58" s="556" t="n"/>
      <c r="P58" s="556" t="n"/>
      <c r="Q58" s="554" t="n"/>
    </row>
    <row r="59">
      <c r="B59" s="560" t="inlineStr">
        <is>
          <t>Unwanted rows of the Main Section can be hidden to free up display space. Individual rows can easily be hidden without having to disable protection.</t>
        </is>
      </c>
      <c r="C59" s="323" t="n"/>
      <c r="D59" s="556" t="n"/>
      <c r="E59" s="556" t="n"/>
      <c r="F59" s="556" t="n"/>
      <c r="G59" s="556" t="n"/>
      <c r="H59" s="556" t="n"/>
      <c r="I59" s="556" t="n"/>
      <c r="J59" s="556" t="n"/>
      <c r="K59" s="556" t="n"/>
      <c r="L59" s="556" t="n"/>
      <c r="M59" s="556" t="n"/>
      <c r="N59" s="556" t="n"/>
      <c r="O59" s="556" t="n"/>
      <c r="P59" s="556" t="n"/>
      <c r="Q59" s="554" t="n"/>
    </row>
    <row r="60">
      <c r="B60" s="560" t="inlineStr">
        <is>
          <t>Use the small (S)how and (H)ide buttons in the HR Tweak section to hide that area. I also manually hide rows 12 (HR Reserve) and 15 (Pace/Km), since I don't need that info.</t>
        </is>
      </c>
      <c r="C60" s="323" t="n"/>
      <c r="D60" s="556" t="n"/>
      <c r="E60" s="556" t="n"/>
      <c r="F60" s="556" t="n"/>
      <c r="G60" s="556" t="n"/>
      <c r="H60" s="556" t="n"/>
      <c r="I60" s="556" t="n"/>
      <c r="J60" s="556" t="n"/>
      <c r="K60" s="556" t="n"/>
      <c r="L60" s="556" t="n"/>
      <c r="M60" s="556" t="n"/>
      <c r="N60" s="556" t="n"/>
      <c r="O60" s="556" t="n"/>
      <c r="P60" s="556" t="n"/>
      <c r="Q60" s="554" t="n"/>
    </row>
    <row r="61">
      <c r="B61" s="560" t="inlineStr">
        <is>
          <t>The entire Intensigy Points Grid can also be hidden, as it takes up a lot of space and many people will probably not be interested in this data.</t>
        </is>
      </c>
      <c r="C61" s="323" t="n"/>
      <c r="D61" s="556" t="n"/>
      <c r="E61" s="556" t="n"/>
      <c r="F61" s="556" t="n"/>
      <c r="G61" s="556" t="n"/>
      <c r="H61" s="556" t="n"/>
      <c r="I61" s="556" t="n"/>
      <c r="J61" s="556" t="n"/>
      <c r="K61" s="556" t="n"/>
      <c r="L61" s="556" t="n"/>
      <c r="M61" s="556" t="n"/>
      <c r="N61" s="556" t="n"/>
      <c r="O61" s="556" t="n"/>
      <c r="P61" s="556" t="n"/>
      <c r="Q61" s="554" t="n"/>
    </row>
    <row r="62">
      <c r="B62" s="560" t="n"/>
      <c r="C62" s="323" t="n"/>
      <c r="D62" s="556" t="n"/>
      <c r="E62" s="556" t="n"/>
      <c r="F62" s="556" t="n"/>
      <c r="G62" s="556" t="n"/>
      <c r="H62" s="556" t="n"/>
      <c r="I62" s="556" t="n"/>
      <c r="J62" s="556" t="n"/>
      <c r="K62" s="556" t="n"/>
      <c r="L62" s="556" t="n"/>
      <c r="M62" s="556" t="n"/>
      <c r="N62" s="556" t="n"/>
      <c r="O62" s="556" t="n"/>
      <c r="P62" s="556" t="n"/>
      <c r="Q62" s="554" t="n"/>
    </row>
    <row r="63">
      <c r="B63" s="606" t="inlineStr">
        <is>
          <t>A Note about Daniels' VDOT and Equivalent Race Time Calculations:</t>
        </is>
      </c>
      <c r="C63" s="323" t="n"/>
      <c r="D63" s="556" t="n"/>
      <c r="E63" s="556" t="n"/>
      <c r="F63" s="556" t="n"/>
      <c r="G63" s="556" t="n"/>
      <c r="H63" s="556" t="n"/>
      <c r="I63" s="556" t="n"/>
      <c r="J63" s="556" t="n"/>
      <c r="K63" s="556" t="n"/>
      <c r="L63" s="556" t="n"/>
      <c r="M63" s="556" t="n"/>
      <c r="N63" s="556" t="n"/>
      <c r="O63" s="556" t="n"/>
      <c r="P63" s="556" t="n"/>
      <c r="Q63" s="554" t="n"/>
    </row>
    <row r="64">
      <c r="B64" s="560" t="inlineStr">
        <is>
          <t>Daniels' VDOT is a sort of normalized representation of relative VO2max. VDOT values were derived with the assumption that aerobic capacity, lactate threshold, and</t>
        </is>
      </c>
      <c r="C64" s="323" t="n"/>
      <c r="D64" s="556" t="n"/>
      <c r="E64" s="556" t="n"/>
      <c r="F64" s="556" t="n"/>
      <c r="G64" s="556" t="n"/>
      <c r="H64" s="556" t="n"/>
      <c r="I64" s="556" t="n"/>
      <c r="J64" s="556" t="n"/>
      <c r="K64" s="556" t="n"/>
      <c r="L64" s="556" t="n"/>
      <c r="M64" s="556" t="n"/>
      <c r="N64" s="556" t="n"/>
      <c r="O64" s="556" t="n"/>
      <c r="P64" s="556" t="n"/>
      <c r="Q64" s="554" t="n"/>
    </row>
    <row r="65">
      <c r="B65" s="560" t="inlineStr">
        <is>
          <t>running economy are equal among all runners. Of course, this isn't the case. However, for establishing racing and training intensities, VDOT's normalized factors work very</t>
        </is>
      </c>
      <c r="C65" s="323" t="n"/>
      <c r="D65" s="556" t="n"/>
      <c r="E65" s="556" t="n"/>
      <c r="F65" s="556" t="n"/>
      <c r="G65" s="556" t="n"/>
      <c r="H65" s="556" t="n"/>
      <c r="I65" s="556" t="n"/>
      <c r="J65" s="556" t="n"/>
      <c r="K65" s="556" t="n"/>
      <c r="L65" s="556" t="n"/>
      <c r="M65" s="556" t="n"/>
      <c r="N65" s="556" t="n"/>
      <c r="O65" s="556" t="n"/>
      <c r="P65" s="556" t="n"/>
      <c r="Q65" s="554" t="n"/>
    </row>
    <row r="66">
      <c r="B66" s="560" t="inlineStr">
        <is>
          <t>well.  To fully understand the concepts behind VDOT, and for excellent overall training insight, I highly recommend picking up a copy of Daniels' book, "Daniels Running Formula".</t>
        </is>
      </c>
      <c r="C66" s="323" t="n"/>
      <c r="D66" s="556" t="n"/>
      <c r="E66" s="556" t="n"/>
      <c r="F66" s="556" t="n"/>
      <c r="G66" s="556" t="n"/>
      <c r="H66" s="556" t="n"/>
      <c r="I66" s="556" t="n"/>
      <c r="J66" s="556" t="n"/>
      <c r="K66" s="556" t="n"/>
      <c r="L66" s="556" t="n"/>
      <c r="M66" s="556" t="n"/>
      <c r="N66" s="556" t="n"/>
      <c r="O66" s="556" t="n"/>
      <c r="P66" s="556" t="n"/>
      <c r="Q66" s="554" t="n"/>
    </row>
    <row r="67">
      <c r="B67" s="560" t="n"/>
      <c r="C67" s="323" t="n"/>
      <c r="D67" s="556" t="n"/>
      <c r="E67" s="556" t="n"/>
      <c r="F67" s="556" t="n"/>
      <c r="G67" s="556" t="n"/>
      <c r="H67" s="556" t="n"/>
      <c r="I67" s="556" t="n"/>
      <c r="J67" s="556" t="n"/>
      <c r="K67" s="556" t="n"/>
      <c r="L67" s="556" t="n"/>
      <c r="M67" s="556" t="n"/>
      <c r="N67" s="556" t="n"/>
      <c r="O67" s="556" t="n"/>
      <c r="P67" s="556" t="n"/>
      <c r="Q67" s="554" t="n"/>
    </row>
    <row r="68">
      <c r="B68" s="560" t="inlineStr">
        <is>
          <t>The formulas Daniels' uses to predict race times for other distances from a given performance are highly complex, and too difficult for me to decipher.</t>
        </is>
      </c>
      <c r="C68" s="323" t="n"/>
      <c r="D68" s="556" t="n"/>
      <c r="E68" s="556" t="n"/>
      <c r="F68" s="556" t="n"/>
      <c r="G68" s="556" t="n"/>
      <c r="H68" s="556" t="n"/>
      <c r="I68" s="556" t="n"/>
      <c r="J68" s="556" t="n"/>
      <c r="K68" s="556" t="n"/>
      <c r="L68" s="556" t="n"/>
      <c r="M68" s="556" t="n"/>
      <c r="N68" s="556" t="n"/>
      <c r="O68" s="556" t="n"/>
      <c r="P68" s="556" t="n"/>
      <c r="Q68" s="554" t="n"/>
    </row>
    <row r="69">
      <c r="B69" s="560" t="inlineStr">
        <is>
          <t>So I used another projection model to calculate projected race times. Therefore, the race time proections in this worksheet will not exactly match those in Daniels' book.</t>
        </is>
      </c>
      <c r="C69" s="323" t="n"/>
      <c r="D69" s="556" t="n"/>
      <c r="E69" s="556" t="n"/>
      <c r="F69" s="556" t="n"/>
      <c r="G69" s="556" t="n"/>
      <c r="H69" s="556" t="n"/>
      <c r="I69" s="556" t="n"/>
      <c r="J69" s="556" t="n"/>
      <c r="K69" s="556" t="n"/>
      <c r="L69" s="556" t="n"/>
      <c r="M69" s="556" t="n"/>
      <c r="N69" s="556" t="n"/>
      <c r="O69" s="556" t="n"/>
      <c r="P69" s="556" t="n"/>
      <c r="Q69" s="554" t="n"/>
    </row>
    <row r="70">
      <c r="B70" s="560" t="inlineStr">
        <is>
          <t>However, the model I use (Pete Riegel's formula), tracks very, very closely to Daniels', typically within 2-3 seconds per mile across the entire scope of distances from 5k to Marathon.</t>
        </is>
      </c>
      <c r="C70" s="323" t="n"/>
      <c r="D70" s="556" t="n"/>
      <c r="E70" s="556" t="n"/>
      <c r="F70" s="556" t="n"/>
      <c r="G70" s="556" t="n"/>
      <c r="H70" s="556" t="n"/>
      <c r="I70" s="556" t="n"/>
      <c r="J70" s="556" t="n"/>
      <c r="K70" s="556" t="n"/>
      <c r="L70" s="556" t="n"/>
      <c r="M70" s="556" t="n"/>
      <c r="N70" s="556" t="n"/>
      <c r="O70" s="556" t="n"/>
      <c r="P70" s="556" t="n"/>
      <c r="Q70" s="554" t="n"/>
    </row>
    <row r="71">
      <c r="B71" s="560" t="n"/>
      <c r="C71" s="323" t="n"/>
      <c r="D71" s="556" t="n"/>
      <c r="E71" s="556" t="n"/>
      <c r="F71" s="556" t="n"/>
      <c r="G71" s="556" t="n"/>
      <c r="H71" s="556" t="n"/>
      <c r="I71" s="556" t="n"/>
      <c r="J71" s="556" t="n"/>
      <c r="K71" s="556" t="n"/>
      <c r="L71" s="556" t="n"/>
      <c r="M71" s="556" t="n"/>
      <c r="N71" s="556" t="n"/>
      <c r="O71" s="556" t="n"/>
      <c r="P71" s="556" t="n"/>
      <c r="Q71" s="554" t="n"/>
    </row>
    <row r="72">
      <c r="B72" s="560" t="inlineStr">
        <is>
          <t>The formulas I use to calculate Daniels' VDOT, VO2max, Lactate Threshold, training paces, and the effect of weight and temperature are Daniels' actual formulas.</t>
        </is>
      </c>
      <c r="C72" s="323" t="n"/>
      <c r="D72" s="556" t="n"/>
      <c r="E72" s="556" t="n"/>
      <c r="F72" s="556" t="n"/>
      <c r="G72" s="556" t="n"/>
      <c r="H72" s="556" t="n"/>
      <c r="I72" s="556" t="n"/>
      <c r="J72" s="556" t="n"/>
      <c r="K72" s="556" t="n"/>
      <c r="L72" s="556" t="n"/>
      <c r="M72" s="556" t="n"/>
      <c r="N72" s="556" t="n"/>
      <c r="O72" s="556" t="n"/>
      <c r="P72" s="556" t="n"/>
      <c r="Q72" s="554" t="n"/>
    </row>
    <row r="73">
      <c r="B73" s="609" t="n"/>
      <c r="C73" s="564" t="n"/>
      <c r="D73" s="565" t="n"/>
      <c r="E73" s="565" t="n"/>
      <c r="F73" s="565" t="n"/>
      <c r="G73" s="565" t="n"/>
      <c r="H73" s="565" t="n"/>
      <c r="I73" s="565" t="n"/>
      <c r="J73" s="565" t="n"/>
      <c r="K73" s="565" t="n"/>
      <c r="L73" s="565" t="n"/>
      <c r="M73" s="565" t="n"/>
      <c r="N73" s="565" t="n"/>
      <c r="O73" s="565" t="n"/>
      <c r="P73" s="565" t="n"/>
      <c r="Q73" s="566" t="n"/>
    </row>
    <row r="74">
      <c r="B74" s="560" t="n"/>
      <c r="C74" s="323" t="n"/>
      <c r="D74" s="556" t="n"/>
      <c r="E74" s="556" t="n"/>
      <c r="F74" s="556" t="n"/>
      <c r="G74" s="556" t="n"/>
      <c r="H74" s="556" t="n"/>
      <c r="I74" s="556" t="n"/>
      <c r="J74" s="556" t="n"/>
      <c r="K74" s="556" t="n"/>
      <c r="L74" s="556" t="n"/>
      <c r="M74" s="556" t="n"/>
      <c r="N74" s="556" t="n"/>
      <c r="O74" s="556" t="n"/>
      <c r="P74" s="556" t="n"/>
      <c r="Q74" s="554" t="n"/>
    </row>
    <row customHeight="1" ht="15.75" r="75" s="663">
      <c r="B75" s="607" t="inlineStr">
        <is>
          <t>Intensity Points Grid</t>
        </is>
      </c>
      <c r="C75" s="323" t="n"/>
      <c r="D75" s="556" t="n"/>
      <c r="E75" s="556" t="n"/>
      <c r="F75" s="556" t="n"/>
      <c r="G75" s="556" t="n"/>
      <c r="H75" s="556" t="n"/>
      <c r="I75" s="556" t="n"/>
      <c r="J75" s="556" t="n"/>
      <c r="K75" s="556" t="n"/>
      <c r="L75" s="556" t="n"/>
      <c r="M75" s="556" t="n"/>
      <c r="N75" s="556" t="n"/>
      <c r="O75" s="556" t="n"/>
      <c r="P75" s="556" t="n"/>
      <c r="Q75" s="554" t="n"/>
    </row>
    <row r="76">
      <c r="B76" s="560" t="inlineStr">
        <is>
          <t>The Intensigy Points Grid provides a method of quantifying the stress or workload of a particular workout type across a wide range of pace and durations.</t>
        </is>
      </c>
      <c r="C76" s="323" t="n"/>
      <c r="D76" s="556" t="n"/>
      <c r="E76" s="556" t="n"/>
      <c r="F76" s="556" t="n"/>
      <c r="G76" s="556" t="n"/>
      <c r="H76" s="556" t="n"/>
      <c r="I76" s="556" t="n"/>
      <c r="J76" s="556" t="n"/>
      <c r="K76" s="556" t="n"/>
      <c r="L76" s="556" t="n"/>
      <c r="M76" s="556" t="n"/>
      <c r="N76" s="556" t="n"/>
      <c r="O76" s="556" t="n"/>
      <c r="P76" s="556" t="n"/>
      <c r="Q76" s="554" t="n"/>
    </row>
    <row r="77">
      <c r="B77" s="560" t="inlineStr">
        <is>
          <t>This allows comparison of relative workloads of the various types of workouts, and provides a means of tracking combined intensity over weekly or monthly training periods.</t>
        </is>
      </c>
      <c r="C77" s="323" t="n"/>
      <c r="D77" s="556" t="n"/>
      <c r="E77" s="556" t="n"/>
      <c r="F77" s="556" t="n"/>
      <c r="G77" s="556" t="n"/>
      <c r="H77" s="556" t="n"/>
      <c r="I77" s="556" t="n"/>
      <c r="J77" s="556" t="n"/>
      <c r="K77" s="556" t="n"/>
      <c r="L77" s="556" t="n"/>
      <c r="M77" s="556" t="n"/>
      <c r="N77" s="556" t="n"/>
      <c r="O77" s="556" t="n"/>
      <c r="P77" s="556" t="n"/>
      <c r="Q77" s="554" t="n"/>
    </row>
    <row r="78">
      <c r="B78" s="562" t="inlineStr">
        <is>
          <t>Intensity Point calculations are based on data taken from Jack Daniels' Intensity Training Table (Table 2.2) from "Daniels' Running Formula, 2nd Edition".</t>
        </is>
      </c>
      <c r="C78" s="323" t="n"/>
      <c r="D78" s="556" t="n"/>
      <c r="E78" s="556" t="n"/>
      <c r="F78" s="556" t="n"/>
      <c r="G78" s="556" t="n"/>
      <c r="H78" s="556" t="n"/>
      <c r="I78" s="556" t="n"/>
      <c r="J78" s="556" t="n"/>
      <c r="K78" s="556" t="n"/>
      <c r="L78" s="556" t="n"/>
      <c r="M78" s="556" t="n"/>
      <c r="N78" s="556" t="n"/>
      <c r="O78" s="556" t="n"/>
      <c r="P78" s="556" t="n"/>
      <c r="Q78" s="554" t="n"/>
    </row>
    <row r="79">
      <c r="B79" s="560" t="inlineStr">
        <is>
          <t>More training points per minute are given to workouts as the intensity  increases. The faster and/or longer the workout, the more points are accumulated.</t>
        </is>
      </c>
      <c r="C79" s="323" t="n"/>
      <c r="D79" s="556" t="n"/>
      <c r="E79" s="556" t="n"/>
      <c r="F79" s="556" t="n"/>
      <c r="G79" s="556" t="n"/>
      <c r="H79" s="556" t="n"/>
      <c r="I79" s="556" t="n"/>
      <c r="J79" s="556" t="n"/>
      <c r="K79" s="556" t="n"/>
      <c r="L79" s="556" t="n"/>
      <c r="M79" s="556" t="n"/>
      <c r="N79" s="556" t="n"/>
      <c r="O79" s="556" t="n"/>
      <c r="P79" s="556" t="n"/>
      <c r="Q79" s="554" t="n"/>
    </row>
    <row r="80">
      <c r="B80" s="560" t="n"/>
      <c r="C80" s="323" t="n"/>
      <c r="D80" s="556" t="n"/>
      <c r="E80" s="556" t="n"/>
      <c r="F80" s="556" t="n"/>
      <c r="G80" s="556" t="n"/>
      <c r="H80" s="556" t="n"/>
      <c r="I80" s="556" t="n"/>
      <c r="J80" s="556" t="n"/>
      <c r="K80" s="556" t="n"/>
      <c r="L80" s="556" t="n"/>
      <c r="M80" s="556" t="n"/>
      <c r="N80" s="556" t="n"/>
      <c r="O80" s="556" t="n"/>
      <c r="P80" s="556" t="n"/>
      <c r="Q80" s="554" t="n"/>
    </row>
    <row r="81">
      <c r="B81" s="560" t="inlineStr">
        <is>
          <t>In his book, Daniels shows Intensity Points in terms of minutes run. The Intensity Points Grid shows approximate equivalent point values from the perspective of miles run.</t>
        </is>
      </c>
      <c r="C81" s="323" t="n"/>
      <c r="D81" s="556" t="n"/>
      <c r="E81" s="556" t="n"/>
      <c r="F81" s="556" t="n"/>
      <c r="G81" s="556" t="n"/>
      <c r="H81" s="556" t="n"/>
      <c r="I81" s="556" t="n"/>
      <c r="J81" s="556" t="n"/>
      <c r="K81" s="556" t="n"/>
      <c r="L81" s="556" t="n"/>
      <c r="M81" s="556" t="n"/>
      <c r="N81" s="556" t="n"/>
      <c r="O81" s="556" t="n"/>
      <c r="P81" s="556" t="n"/>
      <c r="Q81" s="554" t="n"/>
    </row>
    <row r="82">
      <c r="B82" s="560" t="inlineStr">
        <is>
          <t>The columns of the Intensity Points Grid align with the training/racing paces and % of HRmax calcs in the Main Section above. For example:</t>
        </is>
      </c>
      <c r="C82" s="323" t="n"/>
      <c r="D82" s="556" t="n"/>
      <c r="E82" s="556" t="n"/>
      <c r="F82" s="556" t="n"/>
      <c r="G82" s="556" t="n"/>
      <c r="H82" s="556" t="n"/>
      <c r="I82" s="556" t="n"/>
      <c r="J82" s="556" t="n"/>
      <c r="K82" s="556" t="n"/>
      <c r="L82" s="556" t="n"/>
      <c r="M82" s="556" t="n"/>
      <c r="N82" s="556" t="n"/>
      <c r="O82" s="556" t="n"/>
      <c r="P82" s="556" t="n"/>
      <c r="Q82" s="554" t="n"/>
    </row>
    <row r="83">
      <c r="B83" s="560" t="inlineStr">
        <is>
          <t>The intersection of Excel column E, row 28 shows the points for a 10 mile run at 70% of HRmax.</t>
        </is>
      </c>
      <c r="C83" s="323" t="n"/>
      <c r="D83" s="556" t="n"/>
      <c r="E83" s="556" t="n"/>
      <c r="F83" s="556" t="n"/>
      <c r="G83" s="556" t="n"/>
      <c r="H83" s="556" t="n"/>
      <c r="I83" s="556" t="n"/>
      <c r="J83" s="556" t="n"/>
      <c r="K83" s="556" t="n"/>
      <c r="L83" s="556" t="n"/>
      <c r="M83" s="556" t="n"/>
      <c r="N83" s="556" t="n"/>
      <c r="O83" s="556" t="n"/>
      <c r="P83" s="556" t="n"/>
      <c r="Q83" s="554" t="n"/>
    </row>
    <row r="84">
      <c r="B84" s="560" t="inlineStr">
        <is>
          <t>The intersection of Excel column K, row 22 shows the points for a 4 mile run at Half Marathon pace.</t>
        </is>
      </c>
      <c r="C84" s="323" t="n"/>
      <c r="D84" s="556" t="n"/>
      <c r="E84" s="556" t="n"/>
      <c r="F84" s="556" t="n"/>
      <c r="G84" s="556" t="n"/>
      <c r="H84" s="556" t="n"/>
      <c r="I84" s="556" t="n"/>
      <c r="J84" s="556" t="n"/>
      <c r="K84" s="556" t="n"/>
      <c r="L84" s="556" t="n"/>
      <c r="M84" s="556" t="n"/>
      <c r="N84" s="556" t="n"/>
      <c r="O84" s="556" t="n"/>
      <c r="P84" s="556" t="n"/>
      <c r="Q84" s="554" t="n"/>
    </row>
    <row r="85">
      <c r="B85" s="560" t="inlineStr">
        <is>
          <t>The actual point values will vary based on your fitness level, but you will find  that a 10 mile run at 70% of HRmax and a 4 mile run at 1/2 Marathon pace have similar point values.</t>
        </is>
      </c>
      <c r="C85" s="323" t="n"/>
      <c r="D85" s="556" t="n"/>
      <c r="E85" s="556" t="n"/>
      <c r="F85" s="556" t="n"/>
      <c r="G85" s="556" t="n"/>
      <c r="H85" s="556" t="n"/>
      <c r="I85" s="556" t="n"/>
      <c r="J85" s="556" t="n"/>
      <c r="K85" s="556" t="n"/>
      <c r="L85" s="556" t="n"/>
      <c r="M85" s="556" t="n"/>
      <c r="N85" s="556" t="n"/>
      <c r="O85" s="556" t="n"/>
      <c r="P85" s="556" t="n"/>
      <c r="Q85" s="554" t="n"/>
    </row>
    <row r="86">
      <c r="B86" s="560" t="n"/>
      <c r="C86" s="323" t="n"/>
      <c r="D86" s="556" t="n"/>
      <c r="E86" s="556" t="n"/>
      <c r="F86" s="556" t="n"/>
      <c r="G86" s="556" t="n"/>
      <c r="H86" s="556" t="n"/>
      <c r="I86" s="556" t="n"/>
      <c r="J86" s="556" t="n"/>
      <c r="K86" s="556" t="n"/>
      <c r="L86" s="556" t="n"/>
      <c r="M86" s="556" t="n"/>
      <c r="N86" s="556" t="n"/>
      <c r="O86" s="556" t="n"/>
      <c r="P86" s="556" t="n"/>
      <c r="Q86" s="554" t="n"/>
    </row>
    <row r="87">
      <c r="B87" s="560" t="inlineStr">
        <is>
          <t>Nestled within the Points Grid is an Intensity Points Calculator, a little tool to calculate and total Intensity points for up to 10 runs of various distanced, time, pace, and heart rate.</t>
        </is>
      </c>
      <c r="C87" s="323" t="n"/>
      <c r="D87" s="556" t="n"/>
      <c r="E87" s="556" t="n"/>
      <c r="F87" s="556" t="n"/>
      <c r="G87" s="556" t="n"/>
      <c r="H87" s="556" t="n"/>
      <c r="I87" s="556" t="n"/>
      <c r="J87" s="556" t="n"/>
      <c r="K87" s="556" t="n"/>
      <c r="L87" s="556" t="n"/>
      <c r="M87" s="556" t="n"/>
      <c r="N87" s="556" t="n"/>
      <c r="O87" s="556" t="n"/>
      <c r="P87" s="556" t="n"/>
      <c r="Q87" s="554" t="n"/>
    </row>
    <row r="88">
      <c r="B88" s="560" t="inlineStr">
        <is>
          <t>The calculator operates in 4 different modes: Time and Distance, Time and Pace, Distance and Pace, and Time and Heart Rate.</t>
        </is>
      </c>
      <c r="C88" s="323" t="n"/>
      <c r="D88" s="556" t="n"/>
      <c r="E88" s="556" t="n"/>
      <c r="F88" s="556" t="n"/>
      <c r="G88" s="556" t="n"/>
      <c r="H88" s="556" t="n"/>
      <c r="I88" s="556" t="n"/>
      <c r="J88" s="556" t="n"/>
      <c r="K88" s="556" t="n"/>
      <c r="L88" s="556" t="n"/>
      <c r="M88" s="556" t="n"/>
      <c r="N88" s="556" t="n"/>
      <c r="O88" s="556" t="n"/>
      <c r="P88" s="556" t="n"/>
      <c r="Q88" s="554" t="n"/>
    </row>
    <row r="89">
      <c r="B89" s="560" t="inlineStr">
        <is>
          <t>Select the preferred mode by entering the appropriate number (1 through 4) in the Mode Entry Box.</t>
        </is>
      </c>
      <c r="C89" s="323" t="n"/>
      <c r="D89" s="556" t="n"/>
      <c r="E89" s="556" t="n"/>
      <c r="F89" s="556" t="n"/>
      <c r="G89" s="556" t="n"/>
      <c r="H89" s="556" t="n"/>
      <c r="I89" s="556" t="n"/>
      <c r="J89" s="556" t="n"/>
      <c r="K89" s="556" t="n"/>
      <c r="L89" s="556" t="n"/>
      <c r="M89" s="556" t="n"/>
      <c r="N89" s="556" t="n"/>
      <c r="O89" s="556" t="n"/>
      <c r="P89" s="556" t="n"/>
      <c r="Q89" s="554" t="n"/>
    </row>
    <row r="90">
      <c r="B90" s="560" t="n"/>
      <c r="C90" s="323" t="n"/>
      <c r="D90" s="556" t="n"/>
      <c r="E90" s="556" t="n"/>
      <c r="F90" s="556" t="n"/>
      <c r="G90" s="556" t="n"/>
      <c r="H90" s="556" t="n"/>
      <c r="I90" s="556" t="n"/>
      <c r="J90" s="556" t="n"/>
      <c r="K90" s="556" t="n"/>
      <c r="L90" s="556" t="n"/>
      <c r="M90" s="556" t="n"/>
      <c r="N90" s="556" t="n"/>
      <c r="O90" s="556" t="n"/>
      <c r="P90" s="556" t="n"/>
      <c r="Q90" s="554" t="n"/>
    </row>
    <row r="91">
      <c r="B91" s="560" t="inlineStr">
        <is>
          <t xml:space="preserve">Daniels outlines the following general guidelines regarding total weekly point levels: </t>
        </is>
      </c>
      <c r="C91" s="323" t="n"/>
      <c r="D91" s="556" t="n"/>
      <c r="E91" s="556" t="n"/>
      <c r="F91" s="556" t="n"/>
      <c r="G91" s="556" t="n"/>
      <c r="H91" s="556" t="n"/>
      <c r="I91" s="556" t="n"/>
      <c r="J91" s="556" t="n"/>
      <c r="K91" s="556" t="n"/>
      <c r="L91" s="556" t="n"/>
      <c r="M91" s="556" t="n"/>
      <c r="N91" s="556" t="n"/>
      <c r="O91" s="556" t="n"/>
      <c r="P91" s="556" t="n"/>
      <c r="Q91" s="554" t="n"/>
    </row>
    <row r="92">
      <c r="B92" s="560" t="inlineStr">
        <is>
          <t>[Novice High School - 50 points]   [Advanced High School - 100 points]   [College - 150 points]   [Elite - 200 points]</t>
        </is>
      </c>
      <c r="C92" s="323" t="n"/>
      <c r="D92" s="556" t="n"/>
      <c r="E92" s="556" t="n"/>
      <c r="F92" s="556" t="n"/>
      <c r="G92" s="556" t="n"/>
      <c r="H92" s="556" t="n"/>
      <c r="I92" s="556" t="n"/>
      <c r="J92" s="556" t="n"/>
      <c r="K92" s="556" t="n"/>
      <c r="L92" s="556" t="n"/>
      <c r="M92" s="556" t="n"/>
      <c r="N92" s="556" t="n"/>
      <c r="O92" s="556" t="n"/>
      <c r="P92" s="556" t="n"/>
      <c r="Q92" s="554" t="n"/>
    </row>
    <row r="93">
      <c r="B93" s="560" t="n"/>
      <c r="C93" s="323" t="n"/>
      <c r="D93" s="556" t="n"/>
      <c r="E93" s="556" t="n"/>
      <c r="F93" s="556" t="n"/>
      <c r="G93" s="556" t="n"/>
      <c r="H93" s="556" t="n"/>
      <c r="I93" s="556" t="n"/>
      <c r="J93" s="556" t="n"/>
      <c r="K93" s="556" t="n"/>
      <c r="L93" s="556" t="n"/>
      <c r="M93" s="556" t="n"/>
      <c r="N93" s="556" t="n"/>
      <c r="O93" s="556" t="n"/>
      <c r="P93" s="556" t="n"/>
      <c r="Q93" s="554" t="n"/>
    </row>
    <row r="94">
      <c r="B94" s="560" t="inlineStr">
        <is>
          <t>A couple of display controls for the Intensity Points Grid are located at the lower left of the Main section, including a metric option, and buttons to Hide/Show the entire Points Grid.</t>
        </is>
      </c>
      <c r="C94" s="323" t="n"/>
      <c r="D94" s="556" t="n"/>
      <c r="E94" s="556" t="n"/>
      <c r="F94" s="556" t="n"/>
      <c r="G94" s="556" t="n"/>
      <c r="H94" s="556" t="n"/>
      <c r="I94" s="556" t="n"/>
      <c r="J94" s="556" t="n"/>
      <c r="K94" s="556" t="n"/>
      <c r="L94" s="556" t="n"/>
      <c r="M94" s="556" t="n"/>
      <c r="N94" s="556" t="n"/>
      <c r="O94" s="556" t="n"/>
      <c r="P94" s="556" t="n"/>
      <c r="Q94" s="554" t="n"/>
    </row>
    <row r="95">
      <c r="B95" s="609" t="n"/>
      <c r="C95" s="564" t="n"/>
      <c r="D95" s="565" t="n"/>
      <c r="E95" s="565" t="n"/>
      <c r="F95" s="565" t="n"/>
      <c r="G95" s="565" t="n"/>
      <c r="H95" s="565" t="n"/>
      <c r="I95" s="565" t="n"/>
      <c r="J95" s="565" t="n"/>
      <c r="K95" s="565" t="n"/>
      <c r="L95" s="565" t="n"/>
      <c r="M95" s="565" t="n"/>
      <c r="N95" s="565" t="n"/>
      <c r="O95" s="565" t="n"/>
      <c r="P95" s="565" t="n"/>
      <c r="Q95" s="566" t="n"/>
    </row>
    <row r="96">
      <c r="B96" s="560" t="n"/>
      <c r="C96" s="323" t="n"/>
      <c r="D96" s="556" t="n"/>
      <c r="E96" s="556" t="n"/>
      <c r="F96" s="556" t="n"/>
      <c r="G96" s="556" t="n"/>
      <c r="H96" s="556" t="n"/>
      <c r="I96" s="556" t="n"/>
      <c r="J96" s="556" t="n"/>
      <c r="K96" s="556" t="n"/>
      <c r="L96" s="556" t="n"/>
      <c r="M96" s="556" t="n"/>
      <c r="N96" s="556" t="n"/>
      <c r="O96" s="556" t="n"/>
      <c r="P96" s="556" t="n"/>
      <c r="Q96" s="554" t="n"/>
    </row>
    <row customHeight="1" ht="15.75" r="97" s="663">
      <c r="B97" s="607" t="inlineStr">
        <is>
          <t>Training Zones, Tempo Runs, and General Pace Guidance</t>
        </is>
      </c>
      <c r="C97" s="323" t="n"/>
      <c r="D97" s="556" t="n"/>
      <c r="E97" s="556" t="n"/>
      <c r="F97" s="556" t="n"/>
      <c r="G97" s="556" t="n"/>
      <c r="H97" s="556" t="n"/>
      <c r="I97" s="556" t="n"/>
      <c r="J97" s="556" t="n"/>
      <c r="K97" s="556" t="n"/>
      <c r="L97" s="556" t="n"/>
      <c r="M97" s="556" t="n"/>
      <c r="N97" s="556" t="n"/>
      <c r="O97" s="556" t="n"/>
      <c r="P97" s="556" t="n"/>
      <c r="Q97" s="554" t="n"/>
    </row>
    <row r="98">
      <c r="B98" s="560" t="inlineStr">
        <is>
          <t>Using data from Table 7.1 in Daniels' 2nd Edition, the Tempo Pace table starts with a baseline 20 minute Threshold Pace run and adjusts the pace for Tempo Runs</t>
        </is>
      </c>
      <c r="C98" s="323" t="n"/>
      <c r="D98" s="556" t="n"/>
      <c r="E98" s="558" t="n"/>
      <c r="F98" s="558" t="n"/>
      <c r="G98" s="558" t="n"/>
      <c r="H98" s="558" t="n"/>
      <c r="I98" s="558" t="n"/>
      <c r="J98" s="559" t="n"/>
      <c r="K98" s="556" t="n"/>
      <c r="L98" s="556" t="n"/>
      <c r="M98" s="556" t="n"/>
      <c r="N98" s="556" t="n"/>
      <c r="O98" s="556" t="n"/>
      <c r="P98" s="556" t="n"/>
      <c r="Q98" s="554" t="n"/>
    </row>
    <row r="99">
      <c r="B99" s="560" t="inlineStr">
        <is>
          <t>ranging from 25 to 60 minutes. Tempo paces shown are appropriate for the fitness level indicated by the race distance &amp; time entered at the top of the worsheet.</t>
        </is>
      </c>
      <c r="C99" s="323" t="n"/>
      <c r="D99" s="556" t="n"/>
      <c r="E99" s="556" t="n"/>
      <c r="F99" s="556" t="n"/>
      <c r="G99" s="556" t="n"/>
      <c r="H99" s="556" t="n"/>
      <c r="I99" s="556" t="n"/>
      <c r="J99" s="556" t="n"/>
      <c r="K99" s="556" t="n"/>
      <c r="L99" s="556" t="n"/>
      <c r="M99" s="556" t="n"/>
      <c r="N99" s="556" t="n"/>
      <c r="O99" s="556" t="n"/>
      <c r="P99" s="556" t="n"/>
      <c r="Q99" s="554" t="n"/>
    </row>
    <row r="100">
      <c r="B100" s="560" t="inlineStr">
        <is>
          <t>Daniels advises doing all your workouts based on current fitness level (in other words, a recent race performance), not on some hopeful future goal.</t>
        </is>
      </c>
      <c r="C100" s="323" t="n"/>
      <c r="D100" s="556" t="n"/>
      <c r="E100" s="556" t="n"/>
      <c r="F100" s="556" t="n"/>
      <c r="G100" s="556" t="n"/>
      <c r="H100" s="556" t="n"/>
      <c r="I100" s="556" t="n"/>
      <c r="J100" s="556" t="n"/>
      <c r="K100" s="556" t="n"/>
      <c r="L100" s="556" t="n"/>
      <c r="M100" s="556" t="n"/>
      <c r="N100" s="556" t="n"/>
      <c r="O100" s="556" t="n"/>
      <c r="P100" s="556" t="n"/>
      <c r="Q100" s="554" t="n"/>
    </row>
    <row r="101">
      <c r="B101" s="560" t="n"/>
      <c r="C101" s="323" t="n"/>
      <c r="D101" s="556" t="n"/>
      <c r="E101" s="556" t="n"/>
      <c r="F101" s="556" t="n"/>
      <c r="G101" s="556" t="n"/>
      <c r="H101" s="556" t="n"/>
      <c r="I101" s="556" t="n"/>
      <c r="J101" s="556" t="n"/>
      <c r="K101" s="556" t="n"/>
      <c r="L101" s="556" t="n"/>
      <c r="M101" s="556" t="n"/>
      <c r="N101" s="556" t="n"/>
      <c r="O101" s="556" t="n"/>
      <c r="P101" s="556" t="n"/>
      <c r="Q101" s="554" t="n"/>
    </row>
    <row r="102">
      <c r="B102" s="560" t="inlineStr">
        <is>
          <t xml:space="preserve">Daniels Interval Split Times Calculator below the Tempo Pace Chart calculates even split times for key Daniels' Interval training paces, </t>
        </is>
      </c>
      <c r="C102" s="323" t="n"/>
      <c r="D102" s="556" t="n"/>
      <c r="E102" s="556" t="n"/>
      <c r="F102" s="556" t="n"/>
      <c r="G102" s="556" t="n"/>
      <c r="H102" s="556" t="n"/>
      <c r="I102" s="556" t="n"/>
      <c r="J102" s="556" t="n"/>
      <c r="K102" s="556" t="n"/>
      <c r="L102" s="556" t="n"/>
      <c r="M102" s="556" t="n"/>
      <c r="N102" s="556" t="n"/>
      <c r="O102" s="556" t="n"/>
      <c r="P102" s="556" t="n"/>
      <c r="Q102" s="554" t="n"/>
    </row>
    <row r="103">
      <c r="B103" s="560" t="inlineStr">
        <is>
          <t>and has the option of displaying results in US/Imperial or Metric distances.</t>
        </is>
      </c>
      <c r="C103" s="323" t="n"/>
      <c r="D103" s="556" t="n"/>
      <c r="E103" s="556" t="n"/>
      <c r="F103" s="556" t="n"/>
      <c r="G103" s="556" t="n"/>
      <c r="H103" s="556" t="n"/>
      <c r="I103" s="556" t="n"/>
      <c r="J103" s="556" t="n"/>
      <c r="K103" s="556" t="n"/>
      <c r="L103" s="556" t="n"/>
      <c r="M103" s="556" t="n"/>
      <c r="N103" s="556" t="n"/>
      <c r="O103" s="556" t="n"/>
      <c r="P103" s="556" t="n"/>
      <c r="Q103" s="554" t="n"/>
    </row>
    <row r="104">
      <c r="B104" s="560" t="n"/>
      <c r="C104" s="323" t="n"/>
      <c r="D104" s="556" t="n"/>
      <c r="E104" s="556" t="n"/>
      <c r="F104" s="556" t="n"/>
      <c r="G104" s="556" t="n"/>
      <c r="H104" s="556" t="n"/>
      <c r="I104" s="556" t="n"/>
      <c r="J104" s="556" t="n"/>
      <c r="K104" s="556" t="n"/>
      <c r="L104" s="556" t="n"/>
      <c r="M104" s="556" t="n"/>
      <c r="N104" s="556" t="n"/>
      <c r="O104" s="556" t="n"/>
      <c r="P104" s="556" t="n"/>
      <c r="Q104" s="554" t="n"/>
    </row>
    <row r="105">
      <c r="B105" s="560" t="inlineStr">
        <is>
          <t>The McMilanRunning.com Training Range Guidelines table outlines Greg McMillan's training ranges, and provides an alternative set of guidelines from a professional source</t>
        </is>
      </c>
      <c r="C105" s="323" t="n"/>
      <c r="D105" s="556" t="n"/>
      <c r="E105" s="556" t="n"/>
      <c r="F105" s="556" t="n"/>
      <c r="G105" s="556" t="n"/>
      <c r="H105" s="556" t="n"/>
      <c r="I105" s="556" t="n"/>
      <c r="J105" s="556" t="n"/>
      <c r="K105" s="556" t="n"/>
      <c r="L105" s="556" t="n"/>
      <c r="M105" s="556" t="n"/>
      <c r="N105" s="556" t="n"/>
      <c r="O105" s="556" t="n"/>
      <c r="P105" s="556" t="n"/>
      <c r="Q105" s="554" t="n"/>
    </row>
    <row r="106">
      <c r="B106" s="560" t="inlineStr">
        <is>
          <t>for comparison. The race distance ranges defining each training type are quoted directly from McMillan's site. However, due to differences in race pace calculation methods,</t>
        </is>
      </c>
      <c r="C106" s="323" t="n"/>
      <c r="D106" s="556" t="n"/>
      <c r="E106" s="556" t="n"/>
      <c r="F106" s="556" t="n"/>
      <c r="G106" s="556" t="n"/>
      <c r="H106" s="556" t="n"/>
      <c r="I106" s="556" t="n"/>
      <c r="J106" s="556" t="n"/>
      <c r="K106" s="556" t="n"/>
      <c r="L106" s="556" t="n"/>
      <c r="M106" s="556" t="n"/>
      <c r="N106" s="556" t="n"/>
      <c r="O106" s="556" t="n"/>
      <c r="P106" s="556" t="n"/>
      <c r="Q106" s="554" t="n"/>
    </row>
    <row r="107">
      <c r="B107" s="560" t="inlineStr">
        <is>
          <t>the actual pace ranges are only approximations and do not exactly match those on McMillan's site.</t>
        </is>
      </c>
      <c r="C107" s="323" t="n"/>
      <c r="D107" s="556" t="n"/>
      <c r="E107" s="556" t="n"/>
      <c r="F107" s="556" t="n"/>
      <c r="G107" s="556" t="n"/>
      <c r="H107" s="556" t="n"/>
      <c r="I107" s="556" t="n"/>
      <c r="J107" s="556" t="n"/>
      <c r="K107" s="556" t="n"/>
      <c r="L107" s="556" t="n"/>
      <c r="M107" s="556" t="n"/>
      <c r="N107" s="556" t="n"/>
      <c r="O107" s="556" t="n"/>
      <c r="P107" s="556" t="n"/>
      <c r="Q107" s="554" t="n"/>
    </row>
    <row r="108">
      <c r="B108" s="560" t="n"/>
      <c r="C108" s="323" t="n"/>
      <c r="D108" s="556" t="n"/>
      <c r="E108" s="556" t="n"/>
      <c r="F108" s="556" t="n"/>
      <c r="G108" s="556" t="n"/>
      <c r="H108" s="556" t="n"/>
      <c r="I108" s="556" t="n"/>
      <c r="J108" s="556" t="n"/>
      <c r="K108" s="556" t="n"/>
      <c r="L108" s="556" t="n"/>
      <c r="M108" s="556" t="n"/>
      <c r="N108" s="556" t="n"/>
      <c r="O108" s="556" t="n"/>
      <c r="P108" s="556" t="n"/>
      <c r="Q108" s="554" t="n"/>
    </row>
    <row r="109">
      <c r="B109" s="560" t="inlineStr">
        <is>
          <t>The Joe Friel Training Zone Guidelines table outlines Joe Friel's training Zones, and provides a 2nd alternative set of guidelines from a professional source</t>
        </is>
      </c>
      <c r="C109" s="323" t="n"/>
      <c r="D109" s="556" t="n"/>
      <c r="E109" s="556" t="n"/>
      <c r="F109" s="556" t="n"/>
      <c r="G109" s="556" t="n"/>
      <c r="H109" s="556" t="n"/>
      <c r="I109" s="556" t="n"/>
      <c r="J109" s="556" t="n"/>
      <c r="K109" s="556" t="n"/>
      <c r="L109" s="556" t="n"/>
      <c r="M109" s="556" t="n"/>
      <c r="N109" s="556" t="n"/>
      <c r="O109" s="556" t="n"/>
      <c r="P109" s="556" t="n"/>
      <c r="Q109" s="554" t="n"/>
    </row>
    <row r="110">
      <c r="B110" s="560" t="inlineStr">
        <is>
          <t>for comparison. The formulas for this section are based on the information on Joe's "Quick Guide to Training with Heart Rate, Power and Pace".</t>
        </is>
      </c>
      <c r="C110" s="323" t="n"/>
      <c r="D110" s="556" t="n"/>
      <c r="E110" s="556" t="n"/>
      <c r="F110" s="556" t="n"/>
      <c r="G110" s="556" t="n"/>
      <c r="H110" s="556" t="n"/>
      <c r="I110" s="556" t="n"/>
      <c r="J110" s="556" t="n"/>
      <c r="K110" s="556" t="n"/>
      <c r="L110" s="556" t="n"/>
      <c r="M110" s="556" t="n"/>
      <c r="N110" s="556" t="n"/>
      <c r="O110" s="556" t="n"/>
      <c r="P110" s="556" t="n"/>
      <c r="Q110" s="554" t="n"/>
    </row>
    <row r="111">
      <c r="B111" s="560" t="inlineStr">
        <is>
          <t>The worksheet uses 90% of Heart Rate max for the default LTHR, and the calculated Lactate Threshold Pace as the default FTPa.</t>
        </is>
      </c>
      <c r="C111" s="323" t="n"/>
      <c r="D111" s="556" t="n"/>
      <c r="E111" s="556" t="n"/>
      <c r="F111" s="556" t="n"/>
      <c r="G111" s="556" t="n"/>
      <c r="H111" s="556" t="n"/>
      <c r="I111" s="556" t="n"/>
      <c r="J111" s="556" t="n"/>
      <c r="K111" s="556" t="n"/>
      <c r="L111" s="556" t="n"/>
      <c r="M111" s="556" t="n"/>
      <c r="N111" s="556" t="n"/>
      <c r="O111" s="556" t="n"/>
      <c r="P111" s="556" t="n"/>
      <c r="Q111" s="554" t="n"/>
    </row>
    <row r="112">
      <c r="B112" s="560" t="inlineStr">
        <is>
          <t>If you do Joe's 30 minute test to determine your actual LTHR or FTPa, you can override the defaults with your actuals.</t>
        </is>
      </c>
      <c r="C112" s="323" t="n"/>
      <c r="D112" s="556" t="n"/>
      <c r="E112" s="556" t="n"/>
      <c r="F112" s="556" t="n"/>
      <c r="G112" s="556" t="n"/>
      <c r="H112" s="556" t="n"/>
      <c r="I112" s="556" t="n"/>
      <c r="J112" s="556" t="n"/>
      <c r="K112" s="556" t="n"/>
      <c r="L112" s="556" t="n"/>
      <c r="M112" s="556" t="n"/>
      <c r="N112" s="556" t="n"/>
      <c r="O112" s="556" t="n"/>
      <c r="P112" s="556" t="n"/>
      <c r="Q112" s="554" t="n"/>
    </row>
    <row r="113">
      <c r="B113" s="609" t="n"/>
      <c r="C113" s="564" t="n"/>
      <c r="D113" s="565" t="n"/>
      <c r="E113" s="565" t="n"/>
      <c r="F113" s="565" t="n"/>
      <c r="G113" s="565" t="n"/>
      <c r="H113" s="565" t="n"/>
      <c r="I113" s="565" t="n"/>
      <c r="J113" s="565" t="n"/>
      <c r="K113" s="565" t="n"/>
      <c r="L113" s="565" t="n"/>
      <c r="M113" s="565" t="n"/>
      <c r="N113" s="565" t="n"/>
      <c r="O113" s="565" t="n"/>
      <c r="P113" s="565" t="n"/>
      <c r="Q113" s="566" t="n"/>
    </row>
    <row r="114">
      <c r="B114" s="560" t="n"/>
      <c r="C114" s="323" t="n"/>
      <c r="D114" s="556" t="n"/>
      <c r="E114" s="556" t="n"/>
      <c r="F114" s="556" t="n"/>
      <c r="G114" s="556" t="n"/>
      <c r="H114" s="556" t="n"/>
      <c r="I114" s="556" t="n"/>
      <c r="J114" s="556" t="n"/>
      <c r="K114" s="556" t="n"/>
      <c r="L114" s="556" t="n"/>
      <c r="M114" s="556" t="n"/>
      <c r="N114" s="556" t="n"/>
      <c r="O114" s="556" t="n"/>
      <c r="P114" s="556" t="n"/>
      <c r="Q114" s="554" t="n"/>
    </row>
    <row customHeight="1" ht="15.75" r="115" s="663">
      <c r="B115" s="607" t="inlineStr">
        <is>
          <t>Temperature and Weight Time Adjustments</t>
        </is>
      </c>
      <c r="C115" s="323" t="n"/>
      <c r="D115" s="556" t="n"/>
      <c r="E115" s="556" t="n"/>
      <c r="F115" s="556" t="n"/>
      <c r="G115" s="556" t="n"/>
      <c r="H115" s="556" t="n"/>
      <c r="I115" s="556" t="n"/>
      <c r="J115" s="556" t="n"/>
      <c r="K115" s="556" t="n"/>
      <c r="L115" s="556" t="n"/>
      <c r="M115" s="556" t="n"/>
      <c r="N115" s="556" t="n"/>
      <c r="O115" s="556" t="n"/>
      <c r="P115" s="556" t="n"/>
      <c r="Q115" s="554" t="n"/>
    </row>
    <row r="116">
      <c r="B116" s="606" t="inlineStr">
        <is>
          <t>Temperature:</t>
        </is>
      </c>
      <c r="C116" s="323" t="n"/>
      <c r="D116" s="556" t="n"/>
      <c r="E116" s="556" t="n"/>
      <c r="F116" s="556" t="n"/>
      <c r="G116" s="556" t="n"/>
      <c r="H116" s="556" t="n"/>
      <c r="I116" s="556" t="n"/>
      <c r="J116" s="556" t="n"/>
      <c r="K116" s="556" t="n"/>
      <c r="L116" s="556" t="n"/>
      <c r="M116" s="556" t="n"/>
      <c r="N116" s="556" t="n"/>
      <c r="O116" s="556" t="n"/>
      <c r="P116" s="556" t="n"/>
      <c r="Q116" s="554" t="n"/>
    </row>
    <row r="117">
      <c r="B117" s="560" t="inlineStr">
        <is>
          <t>The Adverse Impact of Temperature calculations are extracted from Table 10.1 in the 1st Edition of Daniels' book. This table was omitted in Daniels' 2nd Edition.</t>
        </is>
      </c>
      <c r="C117" s="323" t="n"/>
      <c r="D117" s="556" t="n"/>
      <c r="E117" s="556" t="n"/>
      <c r="F117" s="556" t="n"/>
      <c r="G117" s="556" t="n"/>
      <c r="H117" s="556" t="n"/>
      <c r="I117" s="556" t="n"/>
      <c r="J117" s="556" t="n"/>
      <c r="K117" s="556" t="n"/>
      <c r="L117" s="556" t="n"/>
      <c r="M117" s="556" t="n"/>
      <c r="N117" s="556" t="n"/>
      <c r="O117" s="556" t="n"/>
      <c r="P117" s="556" t="n"/>
      <c r="Q117" s="554" t="n"/>
    </row>
    <row r="118">
      <c r="B118" s="560" t="inlineStr">
        <is>
          <t xml:space="preserve">Perhaps he found that performance loss due to heat was too variable to accurately predict. What ever the reason, I still find it interesting to have some idea how high </t>
        </is>
      </c>
      <c r="C118" s="323" t="n"/>
      <c r="D118" s="556" t="n"/>
      <c r="E118" s="556" t="n"/>
      <c r="F118" s="556" t="n"/>
      <c r="G118" s="556" t="n"/>
      <c r="H118" s="556" t="n"/>
      <c r="I118" s="556" t="n"/>
      <c r="J118" s="556" t="n"/>
      <c r="K118" s="556" t="n"/>
      <c r="L118" s="556" t="n"/>
      <c r="M118" s="556" t="n"/>
      <c r="N118" s="556" t="n"/>
      <c r="O118" s="556" t="n"/>
      <c r="P118" s="556" t="n"/>
      <c r="Q118" s="554" t="n"/>
    </row>
    <row r="119">
      <c r="B119" s="560" t="inlineStr">
        <is>
          <t xml:space="preserve">temperatures affect running performance, even if the table results have a potential for a high degree of variability or error. I'm not saying for sure there is a lot of error, </t>
        </is>
      </c>
      <c r="C119" s="323" t="n"/>
      <c r="D119" s="556" t="n"/>
      <c r="E119" s="556" t="n"/>
      <c r="F119" s="556" t="n"/>
      <c r="G119" s="556" t="n"/>
      <c r="H119" s="556" t="n"/>
      <c r="I119" s="556" t="n"/>
      <c r="J119" s="556" t="n"/>
      <c r="K119" s="556" t="n"/>
      <c r="L119" s="556" t="n"/>
      <c r="M119" s="556" t="n"/>
      <c r="N119" s="556" t="n"/>
      <c r="O119" s="556" t="n"/>
      <c r="P119" s="556" t="n"/>
      <c r="Q119" s="554" t="n"/>
    </row>
    <row r="120">
      <c r="B120" s="560" t="inlineStr">
        <is>
          <t xml:space="preserve">but Daniels must have had some reason for omitting this table in the 2nd edition.  Daniels referenced durations representing marathon times in his table.  </t>
        </is>
      </c>
      <c r="C120" s="323" t="n"/>
      <c r="D120" s="556" t="n"/>
      <c r="E120" s="556" t="n"/>
      <c r="F120" s="556" t="n"/>
      <c r="G120" s="556" t="n"/>
      <c r="H120" s="556" t="n"/>
      <c r="I120" s="556" t="n"/>
      <c r="J120" s="556" t="n"/>
      <c r="K120" s="556" t="n"/>
      <c r="L120" s="556" t="n"/>
      <c r="M120" s="556" t="n"/>
      <c r="N120" s="556" t="n"/>
      <c r="O120" s="556" t="n"/>
      <c r="P120" s="556" t="n"/>
      <c r="Q120" s="554" t="n"/>
    </row>
    <row r="121">
      <c r="B121" s="560" t="inlineStr">
        <is>
          <t>I assume a similar slowdown is experienced for all racing distances.</t>
        </is>
      </c>
      <c r="C121" s="323" t="n"/>
      <c r="D121" s="556" t="n"/>
      <c r="E121" s="556" t="n"/>
      <c r="F121" s="556" t="n"/>
      <c r="G121" s="556" t="n"/>
      <c r="H121" s="556" t="n"/>
      <c r="I121" s="556" t="n"/>
      <c r="J121" s="556" t="n"/>
      <c r="K121" s="556" t="n"/>
      <c r="L121" s="556" t="n"/>
      <c r="M121" s="556" t="n"/>
      <c r="N121" s="556" t="n"/>
      <c r="O121" s="556" t="n"/>
      <c r="P121" s="556" t="n"/>
      <c r="Q121" s="554" t="n"/>
    </row>
    <row r="122">
      <c r="B122" s="560" t="n"/>
      <c r="C122" s="323" t="n"/>
      <c r="D122" s="556" t="n"/>
      <c r="E122" s="556" t="n"/>
      <c r="F122" s="556" t="n"/>
      <c r="G122" s="556" t="n"/>
      <c r="H122" s="556" t="n"/>
      <c r="I122" s="556" t="n"/>
      <c r="J122" s="556" t="n"/>
      <c r="K122" s="556" t="n"/>
      <c r="L122" s="556" t="n"/>
      <c r="M122" s="556" t="n"/>
      <c r="N122" s="556" t="n"/>
      <c r="O122" s="556" t="n"/>
      <c r="P122" s="556" t="n"/>
      <c r="Q122" s="554" t="n"/>
    </row>
    <row r="123">
      <c r="B123" s="606" t="inlineStr">
        <is>
          <t>Weight Grading:</t>
        </is>
      </c>
      <c r="C123" s="323" t="n"/>
      <c r="D123" s="556" t="n"/>
      <c r="E123" s="556" t="n"/>
      <c r="F123" s="556" t="n"/>
      <c r="G123" s="556" t="n"/>
      <c r="H123" s="556" t="n"/>
      <c r="I123" s="556" t="n"/>
      <c r="J123" s="556" t="n"/>
      <c r="K123" s="556" t="n"/>
      <c r="L123" s="556" t="n"/>
      <c r="M123" s="556" t="n"/>
      <c r="N123" s="556" t="n"/>
      <c r="O123" s="556" t="n"/>
      <c r="P123" s="556" t="n"/>
      <c r="Q123" s="554" t="n"/>
    </row>
    <row r="124">
      <c r="B124" s="560" t="inlineStr">
        <is>
          <t>Curious how much faster you'd  be if you dropped 5 or 10 pounds of unnecessary fat? The Projected Impact of Weight calculation will give you an estimate of that.</t>
        </is>
      </c>
      <c r="C124" s="323" t="n"/>
      <c r="D124" s="556" t="n"/>
      <c r="E124" s="556" t="n"/>
      <c r="F124" s="556" t="n"/>
      <c r="G124" s="556" t="n"/>
      <c r="H124" s="556" t="n"/>
      <c r="I124" s="556" t="n"/>
      <c r="J124" s="556" t="n"/>
      <c r="K124" s="556" t="n"/>
      <c r="L124" s="556" t="n"/>
      <c r="M124" s="556" t="n"/>
      <c r="N124" s="556" t="n"/>
      <c r="O124" s="556" t="n"/>
      <c r="P124" s="556" t="n"/>
      <c r="Q124" s="554" t="n"/>
    </row>
    <row r="125">
      <c r="B125" s="560" t="inlineStr">
        <is>
          <t>However, the benefits of weight loss only apply to a certain point. Excessive weight loss is not healthy, and could lead to poorer performances and health issues.</t>
        </is>
      </c>
      <c r="C125" s="323" t="n"/>
      <c r="D125" s="556" t="n"/>
      <c r="E125" s="556" t="n"/>
      <c r="F125" s="556" t="n"/>
      <c r="G125" s="556" t="n"/>
      <c r="H125" s="556" t="n"/>
      <c r="I125" s="556" t="n"/>
      <c r="J125" s="556" t="n"/>
      <c r="K125" s="556" t="n"/>
      <c r="L125" s="556" t="n"/>
      <c r="M125" s="556" t="n"/>
      <c r="N125" s="556" t="n"/>
      <c r="O125" s="556" t="n"/>
      <c r="P125" s="556" t="n"/>
      <c r="Q125" s="554" t="n"/>
    </row>
    <row r="126">
      <c r="B126" s="560" t="inlineStr">
        <is>
          <t>Also keep in mind that while time gains through weight loss are real and can be significant, these are just scienticifically based estimates, not hard and fast rules.</t>
        </is>
      </c>
      <c r="C126" s="323" t="n"/>
      <c r="D126" s="556" t="n"/>
      <c r="E126" s="556" t="n"/>
      <c r="F126" s="556" t="n"/>
      <c r="G126" s="556" t="n"/>
      <c r="H126" s="556" t="n"/>
      <c r="I126" s="556" t="n"/>
      <c r="J126" s="556" t="n"/>
      <c r="K126" s="556" t="n"/>
      <c r="L126" s="556" t="n"/>
      <c r="M126" s="556" t="n"/>
      <c r="N126" s="556" t="n"/>
      <c r="O126" s="556" t="n"/>
      <c r="P126" s="556" t="n"/>
      <c r="Q126" s="554" t="n"/>
    </row>
    <row r="127">
      <c r="B127" s="560" t="inlineStr">
        <is>
          <t>This worksheet uses a combination of BMI and Dr. Stillman's Ideal Weight tables. The lowest BMI considered healthy for both women and men is 18.5. However, this scale</t>
        </is>
      </c>
      <c r="C127" s="323" t="n"/>
      <c r="D127" s="556" t="n"/>
      <c r="E127" s="556" t="n"/>
      <c r="F127" s="556" t="n"/>
      <c r="G127" s="556" t="n"/>
      <c r="H127" s="556" t="n"/>
      <c r="I127" s="556" t="n"/>
      <c r="J127" s="556" t="n"/>
      <c r="K127" s="556" t="n"/>
      <c r="L127" s="556" t="n"/>
      <c r="M127" s="556" t="n"/>
      <c r="N127" s="556" t="n"/>
      <c r="O127" s="556" t="n"/>
      <c r="P127" s="556" t="n"/>
      <c r="Q127" s="554" t="n"/>
    </row>
    <row r="128">
      <c r="B128" s="560" t="inlineStr">
        <is>
          <t>doesn't work so well for the very tall, the very short, or athletes. The BMI scale also makes no distinction between male and female. These are all recognized shortcomings of BMI.</t>
        </is>
      </c>
      <c r="C128" s="323" t="n"/>
      <c r="D128" s="556" t="n"/>
      <c r="E128" s="556" t="n"/>
      <c r="F128" s="556" t="n"/>
      <c r="G128" s="556" t="n"/>
      <c r="H128" s="556" t="n"/>
      <c r="I128" s="556" t="n"/>
      <c r="J128" s="556" t="n"/>
      <c r="K128" s="556" t="n"/>
      <c r="L128" s="556" t="n"/>
      <c r="M128" s="556" t="n"/>
      <c r="N128" s="556" t="n"/>
      <c r="O128" s="556" t="n"/>
      <c r="P128" s="556" t="n"/>
      <c r="Q128" s="554" t="n"/>
    </row>
    <row r="129">
      <c r="B129" s="560" t="inlineStr">
        <is>
          <t>Dr Stillman's table dips below BMI 18.5 in many cases. For time calculations affected by weight, the smaller value between minium BMI and Stillman is used.</t>
        </is>
      </c>
      <c r="C129" s="323" t="n"/>
      <c r="D129" s="556" t="n"/>
      <c r="E129" s="556" t="n"/>
      <c r="F129" s="556" t="n"/>
      <c r="G129" s="556" t="n"/>
      <c r="H129" s="556" t="n"/>
      <c r="I129" s="556" t="n"/>
      <c r="J129" s="556" t="n"/>
      <c r="K129" s="556" t="n"/>
      <c r="L129" s="556" t="n"/>
      <c r="M129" s="556" t="n"/>
      <c r="N129" s="556" t="n"/>
      <c r="O129" s="556" t="n"/>
      <c r="P129" s="556" t="n"/>
      <c r="Q129" s="554" t="n"/>
    </row>
    <row r="130">
      <c r="B130" s="560" t="inlineStr">
        <is>
          <t>Any time a calculated weight or BMI falls below both the BMI minimum and the Stillman Ideal Weight values, the field will be flagged with red text on a yellow background.</t>
        </is>
      </c>
      <c r="C130" s="323" t="n"/>
      <c r="D130" s="556" t="n"/>
      <c r="E130" s="556" t="n"/>
      <c r="F130" s="556" t="n"/>
      <c r="G130" s="556" t="n"/>
      <c r="H130" s="556" t="n"/>
      <c r="I130" s="556" t="n"/>
      <c r="J130" s="556" t="n"/>
      <c r="K130" s="556" t="n"/>
      <c r="L130" s="556" t="n"/>
      <c r="M130" s="556" t="n"/>
      <c r="N130" s="556" t="n"/>
      <c r="O130" s="556" t="n"/>
      <c r="P130" s="556" t="n"/>
      <c r="Q130" s="554" t="n"/>
    </row>
    <row r="131">
      <c r="B131" s="560" t="inlineStr">
        <is>
          <t>The Entry Time Grading &amp; Peak Potential sections will only calculate down to the BMI / Stillman minimums, and won't calculate a weight adjusted time lower than the Age Standard.</t>
        </is>
      </c>
      <c r="C131" s="323" t="n"/>
      <c r="D131" s="556" t="n"/>
      <c r="E131" s="556" t="n"/>
      <c r="F131" s="556" t="n"/>
      <c r="G131" s="556" t="n"/>
      <c r="H131" s="556" t="n"/>
      <c r="I131" s="556" t="n"/>
      <c r="J131" s="556" t="n"/>
      <c r="K131" s="556" t="n"/>
      <c r="L131" s="556" t="n"/>
      <c r="M131" s="556" t="n"/>
      <c r="N131" s="556" t="n"/>
      <c r="O131" s="556" t="n"/>
      <c r="P131" s="556" t="n"/>
      <c r="Q131" s="554" t="n"/>
    </row>
    <row r="132">
      <c r="B132" s="560" t="n"/>
      <c r="C132" s="323" t="n"/>
      <c r="D132" s="556" t="n"/>
      <c r="E132" s="556" t="n"/>
      <c r="F132" s="556" t="n"/>
      <c r="G132" s="556" t="n"/>
      <c r="H132" s="556" t="n"/>
      <c r="I132" s="556" t="n"/>
      <c r="J132" s="556" t="n"/>
      <c r="K132" s="556" t="n"/>
      <c r="L132" s="556" t="n"/>
      <c r="M132" s="556" t="n"/>
      <c r="N132" s="556" t="n"/>
      <c r="O132" s="556" t="n"/>
      <c r="P132" s="556" t="n"/>
      <c r="Q132" s="554" t="n"/>
    </row>
    <row r="133">
      <c r="B133" s="662" t="inlineStr">
        <is>
          <t>I'm aware of three sources for methods of determining Weight Grading:</t>
        </is>
      </c>
      <c r="Q133" s="635" t="n"/>
    </row>
    <row r="134">
      <c r="B134" s="662" t="inlineStr">
        <is>
          <t>1)  Jack Daniels' VDOT based calculations from his 1978 publication, "Oxygen Power".</t>
        </is>
      </c>
      <c r="Q134" s="635" t="n"/>
    </row>
    <row r="135">
      <c r="B135" s="662" t="inlineStr">
        <is>
          <t>2)  The basic physics formula for energy of motion (KE = .5 × m × v2).</t>
        </is>
      </c>
      <c r="Q135" s="635" t="n"/>
    </row>
    <row r="136">
      <c r="B136" s="662" t="inlineStr">
        <is>
          <t>3)  The Flyer Handicap, the result of a 2006 study by Paul Vanderburgh and Lloyd Laubach.</t>
        </is>
      </c>
      <c r="Q136" s="635" t="n"/>
    </row>
    <row r="137">
      <c r="B137" s="662" t="n"/>
      <c r="Q137" s="635" t="n"/>
    </row>
    <row r="138">
      <c r="B138" s="662" t="inlineStr">
        <is>
          <t xml:space="preserve">By adjusting the ^X Power Factor (P.factor) in the following general formula, the various Weight Grading models can be represented:  Time2 = Time1*(Weight2/Weight1)^X. </t>
        </is>
      </c>
      <c r="Q138" s="635" t="n"/>
    </row>
    <row r="139">
      <c r="B139" s="662" t="inlineStr">
        <is>
          <t>This spreadsheet is distributed with a P.factor of 0.83, but this is adjustable by the user. Choose a power factor best suited to your own personal exeriences.</t>
        </is>
      </c>
      <c r="Q139" s="635" t="n"/>
    </row>
    <row r="140">
      <c r="B140" s="662" t="inlineStr">
        <is>
          <t>To simulate Daniels' model use a power factor of  0.83,</t>
        </is>
      </c>
      <c r="Q140" s="635" t="n"/>
    </row>
    <row r="141">
      <c r="B141" s="662" t="inlineStr">
        <is>
          <t>To simulate the physics energy of motion model use a power factor of 0.50.</t>
        </is>
      </c>
      <c r="Q141" s="635" t="n"/>
    </row>
    <row r="142">
      <c r="B142" s="662" t="inlineStr">
        <is>
          <t>To simulate the Flyer Handicap model, use a power factor of 0.333</t>
        </is>
      </c>
      <c r="Q142" s="635" t="n"/>
    </row>
    <row r="143">
      <c r="B143" s="662" t="n"/>
      <c r="Q143" s="635" t="n"/>
    </row>
    <row r="144">
      <c r="B144" s="662" t="inlineStr">
        <is>
          <t>Larger power factors have a greater effect on the results.</t>
        </is>
      </c>
      <c r="Q144" s="635" t="n"/>
    </row>
    <row r="145">
      <c r="B145" s="662" t="inlineStr">
        <is>
          <t>The Daniels factor is most optimistic in terms of time improvement per pound lost, and is closest to the often cited "2 seconds per pound per mile" generalization.</t>
        </is>
      </c>
      <c r="Q145" s="635" t="n"/>
    </row>
    <row r="146">
      <c r="B146" s="662" t="inlineStr">
        <is>
          <t>The Flyer Handicap produces results slightly less than 1/2 those of Daniels, while the Physics model falls between those two.</t>
        </is>
      </c>
      <c r="Q146" s="635" t="n"/>
    </row>
    <row r="147">
      <c r="B147" s="662" t="n"/>
      <c r="Q147" s="635" t="n"/>
    </row>
    <row r="148">
      <c r="B148" s="662" t="inlineStr">
        <is>
          <t>Be aware that because this calculation is based on a relationship between weight and time percentages, the results are not linear for all runner types.</t>
        </is>
      </c>
      <c r="Q148" s="635" t="n"/>
    </row>
    <row r="149">
      <c r="B149" s="662" t="inlineStr">
        <is>
          <t>Fast runners will see a smaller time improvement per excess pound lost compared to slower runners. Likewise, heavier runners will see smaller improvement compared to lighter runners.</t>
        </is>
      </c>
      <c r="Q149" s="635" t="n"/>
    </row>
    <row r="150">
      <c r="B150" s="562" t="n"/>
      <c r="C150" s="323" t="n"/>
      <c r="D150" s="556" t="n"/>
      <c r="E150" s="556" t="n"/>
      <c r="F150" s="556" t="n"/>
      <c r="G150" s="556" t="n"/>
      <c r="H150" s="556" t="n"/>
      <c r="I150" s="556" t="n"/>
      <c r="J150" s="556" t="n"/>
      <c r="K150" s="556" t="n"/>
      <c r="L150" s="556" t="n"/>
      <c r="M150" s="556" t="n"/>
      <c r="N150" s="556" t="n"/>
      <c r="O150" s="556" t="n"/>
      <c r="P150" s="556" t="n"/>
      <c r="Q150" s="554" t="n"/>
    </row>
    <row r="151">
      <c r="B151" s="606" t="inlineStr">
        <is>
          <t>Additional Weight and VO2max Tools:</t>
        </is>
      </c>
      <c r="C151" s="323" t="n"/>
      <c r="D151" s="556" t="n"/>
      <c r="E151" s="556" t="n"/>
      <c r="F151" s="556" t="n"/>
      <c r="G151" s="556" t="n"/>
      <c r="H151" s="556" t="n"/>
      <c r="I151" s="556" t="n"/>
      <c r="J151" s="556" t="n"/>
      <c r="K151" s="556" t="n"/>
      <c r="L151" s="556" t="n"/>
      <c r="M151" s="556" t="n"/>
      <c r="N151" s="556" t="n"/>
      <c r="O151" s="556" t="n"/>
      <c r="P151" s="556" t="n"/>
      <c r="Q151" s="554" t="n"/>
    </row>
    <row r="152">
      <c r="B152" s="560" t="inlineStr">
        <is>
          <t>Continuing down the worksheet are a couple sections for analyzing healthy weight ranges for athletes (BMI and Dr Stillman guidelines), and a table of Miscellaneous O2 Consumption calculations.</t>
        </is>
      </c>
      <c r="C152" s="323" t="n"/>
      <c r="D152" s="556" t="n"/>
      <c r="E152" s="556" t="n"/>
      <c r="F152" s="556" t="n"/>
      <c r="G152" s="556" t="n"/>
      <c r="H152" s="556" t="n"/>
      <c r="I152" s="556" t="n"/>
      <c r="J152" s="556" t="n"/>
      <c r="K152" s="556" t="n"/>
      <c r="L152" s="556" t="n"/>
      <c r="M152" s="556" t="n"/>
      <c r="N152" s="556" t="n"/>
      <c r="O152" s="556" t="n"/>
      <c r="P152" s="556" t="n"/>
      <c r="Q152" s="554" t="n"/>
    </row>
    <row r="153">
      <c r="B153" s="609" t="n"/>
      <c r="C153" s="564" t="n"/>
      <c r="D153" s="565" t="n"/>
      <c r="E153" s="565" t="n"/>
      <c r="F153" s="565" t="n"/>
      <c r="G153" s="565" t="n"/>
      <c r="H153" s="565" t="n"/>
      <c r="I153" s="565" t="n"/>
      <c r="J153" s="565" t="n"/>
      <c r="K153" s="565" t="n"/>
      <c r="L153" s="565" t="n"/>
      <c r="M153" s="565" t="n"/>
      <c r="N153" s="565" t="n"/>
      <c r="O153" s="565" t="n"/>
      <c r="P153" s="565" t="n"/>
      <c r="Q153" s="566" t="n"/>
    </row>
    <row r="154">
      <c r="B154" s="560" t="n"/>
      <c r="C154" s="323" t="n"/>
      <c r="D154" s="556" t="n"/>
      <c r="E154" s="556" t="n"/>
      <c r="F154" s="556" t="n"/>
      <c r="G154" s="556" t="n"/>
      <c r="H154" s="556" t="n"/>
      <c r="I154" s="556" t="n"/>
      <c r="J154" s="556" t="n"/>
      <c r="K154" s="556" t="n"/>
      <c r="L154" s="556" t="n"/>
      <c r="M154" s="556" t="n"/>
      <c r="N154" s="556" t="n"/>
      <c r="O154" s="556" t="n"/>
      <c r="P154" s="556" t="n"/>
      <c r="Q154" s="554" t="n"/>
    </row>
    <row customHeight="1" ht="15.75" r="155" s="663">
      <c r="B155" s="607" t="inlineStr">
        <is>
          <t>Weekly Workload Distribution Chart</t>
        </is>
      </c>
      <c r="C155" s="323" t="n"/>
      <c r="D155" s="556" t="n"/>
      <c r="E155" s="556" t="n"/>
      <c r="F155" s="556" t="n"/>
      <c r="G155" s="556" t="n"/>
      <c r="H155" s="556" t="n"/>
      <c r="I155" s="556" t="n"/>
      <c r="J155" s="556" t="n"/>
      <c r="K155" s="556" t="n"/>
      <c r="L155" s="556" t="n"/>
      <c r="M155" s="556" t="n"/>
      <c r="N155" s="556" t="n"/>
      <c r="O155" s="556" t="n"/>
      <c r="P155" s="556" t="n"/>
      <c r="Q155" s="554" t="n"/>
    </row>
    <row r="156">
      <c r="B156" s="560" t="inlineStr">
        <is>
          <t>The last section going down is the Workload Distribution Chart, which can be used to calculate what percentage each level of training contributes to total weekly mileage. Too much speed / quality</t>
        </is>
      </c>
      <c r="C156" s="323" t="n"/>
      <c r="D156" s="556" t="n"/>
      <c r="E156" s="556" t="n"/>
      <c r="F156" s="556" t="n"/>
      <c r="G156" s="556" t="n"/>
      <c r="H156" s="556" t="n"/>
      <c r="I156" s="556" t="n"/>
      <c r="J156" s="556" t="n"/>
      <c r="K156" s="556" t="n"/>
      <c r="L156" s="556" t="n"/>
      <c r="M156" s="556" t="n"/>
      <c r="N156" s="556" t="n"/>
      <c r="O156" s="556" t="n"/>
      <c r="P156" s="556" t="n"/>
      <c r="Q156" s="554" t="n"/>
    </row>
    <row r="157">
      <c r="B157" s="560" t="inlineStr">
        <is>
          <t>work invites burnout and/or injury.  This table is designed to help develop a balanced distribution of the various types of training. Cursor over the Run Type Names in the table to see</t>
        </is>
      </c>
      <c r="C157" s="323" t="n"/>
      <c r="D157" s="556" t="n"/>
      <c r="E157" s="556" t="n"/>
      <c r="F157" s="556" t="n"/>
      <c r="G157" s="556" t="n"/>
      <c r="H157" s="556" t="n"/>
      <c r="I157" s="556" t="n"/>
      <c r="J157" s="556" t="n"/>
      <c r="K157" s="556" t="n"/>
      <c r="L157" s="556" t="n"/>
      <c r="M157" s="556" t="n"/>
      <c r="N157" s="556" t="n"/>
      <c r="O157" s="556" t="n"/>
      <c r="P157" s="556" t="n"/>
      <c r="Q157" s="554" t="n"/>
    </row>
    <row r="158">
      <c r="B158" s="560" t="inlineStr">
        <is>
          <t xml:space="preserve">basic guidelines for the length or duration of each type of workout. Since not everyone runs the same types of workouts on the same days, a Day 1, Day 2, etc convention is used. </t>
        </is>
      </c>
      <c r="C158" s="323" t="n"/>
      <c r="D158" s="556" t="n"/>
      <c r="E158" s="556" t="n"/>
      <c r="F158" s="556" t="n"/>
      <c r="G158" s="556" t="n"/>
      <c r="H158" s="556" t="n"/>
      <c r="I158" s="556" t="n"/>
      <c r="J158" s="556" t="n"/>
      <c r="K158" s="556" t="n"/>
      <c r="L158" s="556" t="n"/>
      <c r="M158" s="556" t="n"/>
      <c r="N158" s="556" t="n"/>
      <c r="O158" s="556" t="n"/>
      <c r="P158" s="556" t="n"/>
      <c r="Q158" s="554" t="n"/>
    </row>
    <row r="159">
      <c r="B159" s="560" t="inlineStr">
        <is>
          <t xml:space="preserve">These fields may be edited to days of the week, if preferred. </t>
        </is>
      </c>
      <c r="C159" s="323" t="n"/>
      <c r="D159" s="556" t="n"/>
      <c r="E159" s="556" t="n"/>
      <c r="F159" s="556" t="n"/>
      <c r="G159" s="556" t="n"/>
      <c r="H159" s="556" t="n"/>
      <c r="I159" s="556" t="n"/>
      <c r="J159" s="556" t="n"/>
      <c r="K159" s="556" t="n"/>
      <c r="L159" s="556" t="n"/>
      <c r="M159" s="556" t="n"/>
      <c r="N159" s="556" t="n"/>
      <c r="O159" s="556" t="n"/>
      <c r="P159" s="556" t="n"/>
      <c r="Q159" s="554" t="n"/>
    </row>
    <row r="160">
      <c r="B160" s="560" t="n"/>
      <c r="C160" s="323" t="n"/>
      <c r="D160" s="556" t="n"/>
      <c r="E160" s="556" t="n"/>
      <c r="F160" s="556" t="n"/>
      <c r="G160" s="556" t="n"/>
      <c r="H160" s="556" t="n"/>
      <c r="I160" s="556" t="n"/>
      <c r="J160" s="556" t="n"/>
      <c r="K160" s="556" t="n"/>
      <c r="L160" s="556" t="n"/>
      <c r="M160" s="556" t="n"/>
      <c r="N160" s="556" t="n"/>
      <c r="O160" s="556" t="n"/>
      <c r="P160" s="556" t="n"/>
      <c r="Q160" s="554" t="n"/>
    </row>
    <row r="161">
      <c r="B161" s="562" t="inlineStr">
        <is>
          <t>The day with the greatest total miles will automatically be deemed the Long run and designated with an asterisk.</t>
        </is>
      </c>
      <c r="C161" s="323" t="n"/>
      <c r="D161" s="556" t="n"/>
      <c r="E161" s="556" t="n"/>
      <c r="F161" s="556" t="n"/>
      <c r="G161" s="556" t="n"/>
      <c r="H161" s="556" t="n"/>
      <c r="I161" s="556" t="n"/>
      <c r="J161" s="556" t="n"/>
      <c r="K161" s="556" t="n"/>
      <c r="L161" s="556" t="n"/>
      <c r="M161" s="556" t="n"/>
      <c r="N161" s="556" t="n"/>
      <c r="O161" s="556" t="n"/>
      <c r="P161" s="556" t="n"/>
      <c r="Q161" s="554" t="n"/>
    </row>
    <row r="162">
      <c r="B162" s="560" t="inlineStr">
        <is>
          <t xml:space="preserve"> The worksheet uses the total of all components from that day to calculate the long run percentage of weekly total mileage.</t>
        </is>
      </c>
      <c r="C162" s="323" t="n"/>
      <c r="D162" s="556" t="n"/>
      <c r="E162" s="556" t="n"/>
      <c r="F162" s="556" t="n"/>
      <c r="G162" s="556" t="n"/>
      <c r="H162" s="556" t="n"/>
      <c r="I162" s="556" t="n"/>
      <c r="J162" s="556" t="n"/>
      <c r="K162" s="556" t="n"/>
      <c r="L162" s="556" t="n"/>
      <c r="M162" s="556" t="n"/>
      <c r="N162" s="556" t="n"/>
      <c r="O162" s="556" t="n"/>
      <c r="P162" s="556" t="n"/>
      <c r="Q162" s="554" t="n"/>
    </row>
    <row r="163">
      <c r="B163" s="609" t="n"/>
      <c r="C163" s="564" t="n"/>
      <c r="D163" s="565" t="n"/>
      <c r="E163" s="565" t="n"/>
      <c r="F163" s="565" t="n"/>
      <c r="G163" s="565" t="n"/>
      <c r="H163" s="565" t="n"/>
      <c r="I163" s="565" t="n"/>
      <c r="J163" s="565" t="n"/>
      <c r="K163" s="565" t="n"/>
      <c r="L163" s="565" t="n"/>
      <c r="M163" s="565" t="n"/>
      <c r="N163" s="565" t="n"/>
      <c r="O163" s="565" t="n"/>
      <c r="P163" s="565" t="n"/>
      <c r="Q163" s="566" t="n"/>
    </row>
    <row r="164">
      <c r="B164" s="560" t="n"/>
      <c r="C164" s="323" t="n"/>
      <c r="D164" s="556" t="n"/>
      <c r="E164" s="556" t="n"/>
      <c r="F164" s="556" t="n"/>
      <c r="G164" s="556" t="n"/>
      <c r="H164" s="556" t="n"/>
      <c r="I164" s="556" t="n"/>
      <c r="J164" s="556" t="n"/>
      <c r="K164" s="556" t="n"/>
      <c r="L164" s="556" t="n"/>
      <c r="M164" s="556" t="n"/>
      <c r="N164" s="556" t="n"/>
      <c r="O164" s="556" t="n"/>
      <c r="P164" s="556" t="n"/>
      <c r="Q164" s="554" t="n"/>
    </row>
    <row customHeight="1" ht="15.75" r="165" s="663">
      <c r="B165" s="607" t="inlineStr">
        <is>
          <t>Time Addition/Subtraction Calculator</t>
        </is>
      </c>
      <c r="C165" s="323" t="n"/>
      <c r="D165" s="556" t="n"/>
      <c r="E165" s="556" t="n"/>
      <c r="F165" s="556" t="n"/>
      <c r="G165" s="556" t="n"/>
      <c r="H165" s="556" t="n"/>
      <c r="I165" s="556" t="n"/>
      <c r="J165" s="556" t="n"/>
      <c r="K165" s="556" t="n"/>
      <c r="L165" s="556" t="n"/>
      <c r="M165" s="556" t="n"/>
      <c r="N165" s="556" t="n"/>
      <c r="O165" s="556" t="n"/>
      <c r="P165" s="556" t="n"/>
      <c r="Q165" s="554" t="n"/>
    </row>
    <row r="166">
      <c r="B166" s="560" t="inlineStr">
        <is>
          <t>To the right of the Training Zons section is the Add &amp; Subtract Time calculator. The pace averaging calculation within the Add section is intended for use when all splits are of equal distance,</t>
        </is>
      </c>
      <c r="C166" s="323" t="n"/>
      <c r="D166" s="556" t="n"/>
      <c r="E166" s="556" t="n"/>
      <c r="F166" s="556" t="n"/>
      <c r="G166" s="556" t="n"/>
      <c r="H166" s="556" t="n"/>
      <c r="I166" s="556" t="n"/>
      <c r="J166" s="556" t="n"/>
      <c r="K166" s="556" t="n"/>
      <c r="L166" s="556" t="n"/>
      <c r="M166" s="556" t="n"/>
      <c r="N166" s="556" t="n"/>
      <c r="O166" s="556" t="n"/>
      <c r="P166" s="556" t="n"/>
      <c r="Q166" s="554" t="n"/>
    </row>
    <row r="167">
      <c r="B167" s="560" t="inlineStr">
        <is>
          <t>but will average any combination of times. The Multiplier (default is x1.0) can be used to multiply one or more entries by any desired factor.  One use for this would be to enter a single</t>
        </is>
      </c>
      <c r="C167" s="323" t="n"/>
      <c r="D167" s="556" t="n"/>
      <c r="E167" s="556" t="n"/>
      <c r="F167" s="556" t="n"/>
      <c r="G167" s="556" t="n"/>
      <c r="H167" s="556" t="n"/>
      <c r="I167" s="556" t="n"/>
      <c r="J167" s="556" t="n"/>
      <c r="K167" s="556" t="n"/>
      <c r="L167" s="556" t="n"/>
      <c r="M167" s="556" t="n"/>
      <c r="N167" s="556" t="n"/>
      <c r="O167" s="556" t="n"/>
      <c r="P167" s="556" t="n"/>
      <c r="Q167" s="554" t="n"/>
    </row>
    <row r="168">
      <c r="B168" s="560" t="inlineStr">
        <is>
          <t>split time, then set the multiplier to some number of desired repetitions. A total time for the number of reps set by the multiplyer will then be calculated.</t>
        </is>
      </c>
      <c r="C168" s="323" t="n"/>
      <c r="D168" s="556" t="n"/>
      <c r="E168" s="556" t="n"/>
      <c r="F168" s="556" t="n"/>
      <c r="G168" s="556" t="n"/>
      <c r="H168" s="556" t="n"/>
      <c r="I168" s="556" t="n"/>
      <c r="J168" s="556" t="n"/>
      <c r="K168" s="556" t="n"/>
      <c r="L168" s="556" t="n"/>
      <c r="M168" s="556" t="n"/>
      <c r="N168" s="556" t="n"/>
      <c r="O168" s="556" t="n"/>
      <c r="P168" s="556" t="n"/>
      <c r="Q168" s="554" t="n"/>
    </row>
    <row r="169">
      <c r="B169" s="560" t="inlineStr">
        <is>
          <t>To change the multiplier just enter the new factor, the x symbol shows by default. As a reminder, the multiplier turns red anytime it is set to a value other than 1.0.</t>
        </is>
      </c>
      <c r="C169" s="323" t="n"/>
      <c r="D169" s="556" t="n"/>
      <c r="E169" s="556" t="n"/>
      <c r="F169" s="556" t="n"/>
      <c r="G169" s="556" t="n"/>
      <c r="H169" s="556" t="n"/>
      <c r="I169" s="556" t="n"/>
      <c r="J169" s="556" t="n"/>
      <c r="K169" s="556" t="n"/>
      <c r="L169" s="556" t="n"/>
      <c r="M169" s="556" t="n"/>
      <c r="N169" s="556" t="n"/>
      <c r="O169" s="556" t="n"/>
      <c r="P169" s="556" t="n"/>
      <c r="Q169" s="554" t="n"/>
    </row>
    <row r="170">
      <c r="B170" s="609" t="n"/>
      <c r="C170" s="564" t="n"/>
      <c r="D170" s="565" t="n"/>
      <c r="E170" s="565" t="n"/>
      <c r="F170" s="565" t="n"/>
      <c r="G170" s="565" t="n"/>
      <c r="H170" s="565" t="n"/>
      <c r="I170" s="565" t="n"/>
      <c r="J170" s="565" t="n"/>
      <c r="K170" s="565" t="n"/>
      <c r="L170" s="565" t="n"/>
      <c r="M170" s="565" t="n"/>
      <c r="N170" s="565" t="n"/>
      <c r="O170" s="565" t="n"/>
      <c r="P170" s="565" t="n"/>
      <c r="Q170" s="566" t="n"/>
    </row>
    <row r="171">
      <c r="B171" s="560" t="n"/>
      <c r="C171" s="323" t="n"/>
      <c r="D171" s="556" t="n"/>
      <c r="E171" s="556" t="n"/>
      <c r="F171" s="556" t="n"/>
      <c r="G171" s="556" t="n"/>
      <c r="H171" s="556" t="n"/>
      <c r="I171" s="556" t="n"/>
      <c r="J171" s="556" t="n"/>
      <c r="K171" s="556" t="n"/>
      <c r="L171" s="556" t="n"/>
      <c r="M171" s="556" t="n"/>
      <c r="N171" s="556" t="n"/>
      <c r="O171" s="556" t="n"/>
      <c r="P171" s="556" t="n"/>
      <c r="Q171" s="554" t="n"/>
    </row>
    <row customHeight="1" ht="15.75" r="172" s="663">
      <c r="B172" s="607" t="inlineStr">
        <is>
          <t>Extended Race Time Projection Table</t>
        </is>
      </c>
      <c r="C172" s="323" t="n"/>
      <c r="D172" s="556" t="n"/>
      <c r="E172" s="556" t="n"/>
      <c r="F172" s="556" t="n"/>
      <c r="G172" s="556" t="n"/>
      <c r="H172" s="556" t="n"/>
      <c r="I172" s="556" t="n"/>
      <c r="J172" s="556" t="n"/>
      <c r="K172" s="556" t="n"/>
      <c r="L172" s="556" t="n"/>
      <c r="M172" s="556" t="n"/>
      <c r="N172" s="556" t="n"/>
      <c r="O172" s="556" t="n"/>
      <c r="P172" s="556" t="n"/>
      <c r="Q172" s="554" t="n"/>
    </row>
    <row r="173">
      <c r="B173" s="560" t="inlineStr">
        <is>
          <t>To the right of the Time Addition/Subbtration calculator  is the Extended Projection Table, a more complete listing of race time Projections for various distances. Included is an</t>
        </is>
      </c>
      <c r="C173" s="323" t="n"/>
      <c r="D173" s="556" t="n"/>
      <c r="E173" s="556" t="n"/>
      <c r="F173" s="556" t="n"/>
      <c r="G173" s="556" t="n"/>
      <c r="H173" s="556" t="n"/>
      <c r="I173" s="556" t="n"/>
      <c r="J173" s="556" t="n"/>
      <c r="K173" s="556" t="n"/>
      <c r="L173" s="556" t="n"/>
      <c r="M173" s="556" t="n"/>
      <c r="N173" s="556" t="n"/>
      <c r="O173" s="556" t="n"/>
      <c r="P173" s="556" t="n"/>
      <c r="Q173" s="554" t="n"/>
    </row>
    <row r="174">
      <c r="B174" s="562" t="inlineStr">
        <is>
          <t>Age/Sex Grading Table of equivalent race efforts. Both the base age and comparison age (vs Age)  can be edited to any age between 5 and 100, and designated as either</t>
        </is>
      </c>
      <c r="C174" s="323" t="n"/>
      <c r="D174" s="556" t="n"/>
      <c r="E174" s="556" t="n"/>
      <c r="F174" s="556" t="n"/>
      <c r="G174" s="556" t="n"/>
      <c r="H174" s="556" t="n"/>
      <c r="I174" s="556" t="n"/>
      <c r="J174" s="556" t="n"/>
      <c r="K174" s="556" t="n"/>
      <c r="L174" s="556" t="n"/>
      <c r="M174" s="556" t="n"/>
      <c r="N174" s="556" t="n"/>
      <c r="O174" s="556" t="n"/>
      <c r="P174" s="556" t="n"/>
      <c r="Q174" s="554" t="n"/>
    </row>
    <row r="175">
      <c r="B175" s="560" t="inlineStr">
        <is>
          <t xml:space="preserve">male or female.  This info doesn't come from Daniels, but it can be fun to compare your times with runners of different ages, your former self, and/or members of the opposite sex, </t>
        </is>
      </c>
      <c r="C175" s="323" t="n"/>
      <c r="D175" s="556" t="n"/>
      <c r="E175" s="556" t="n"/>
      <c r="F175" s="556" t="n"/>
      <c r="G175" s="556" t="n"/>
      <c r="H175" s="556" t="n"/>
      <c r="I175" s="556" t="n"/>
      <c r="J175" s="556" t="n"/>
      <c r="K175" s="556" t="n"/>
      <c r="L175" s="556" t="n"/>
      <c r="M175" s="556" t="n"/>
      <c r="N175" s="556" t="n"/>
      <c r="O175" s="556" t="n"/>
      <c r="P175" s="556" t="n"/>
      <c r="Q175" s="554" t="n"/>
    </row>
    <row r="176">
      <c r="B176" s="560" t="inlineStr">
        <is>
          <t>to see who  *really* ran the best effort!  I used averaged factors for each 1 year age division, rather than using the entire data field from the 2015 Age Grading tables.</t>
        </is>
      </c>
      <c r="C176" s="323" t="n"/>
      <c r="D176" s="556" t="n"/>
      <c r="E176" s="556" t="n"/>
      <c r="F176" s="556" t="n"/>
      <c r="G176" s="556" t="n"/>
      <c r="H176" s="556" t="n"/>
      <c r="I176" s="556" t="n"/>
      <c r="J176" s="556" t="n"/>
      <c r="K176" s="556" t="n"/>
      <c r="L176" s="556" t="n"/>
      <c r="M176" s="556" t="n"/>
      <c r="N176" s="556" t="n"/>
      <c r="O176" s="556" t="n"/>
      <c r="P176" s="556" t="n"/>
      <c r="Q176" s="554" t="n"/>
    </row>
    <row r="177">
      <c r="B177" s="560" t="inlineStr">
        <is>
          <t>Therefore, these results may differ slightly from other calculators based on the 2015 Age Grading tables.</t>
        </is>
      </c>
      <c r="C177" s="323" t="n"/>
      <c r="D177" s="556" t="n"/>
      <c r="E177" s="556" t="n"/>
      <c r="F177" s="556" t="n"/>
      <c r="G177" s="556" t="n"/>
      <c r="H177" s="556" t="n"/>
      <c r="I177" s="556" t="n"/>
      <c r="J177" s="556" t="n"/>
      <c r="K177" s="556" t="n"/>
      <c r="L177" s="556" t="n"/>
      <c r="M177" s="556" t="n"/>
      <c r="N177" s="556" t="n"/>
      <c r="O177" s="556" t="n"/>
      <c r="P177" s="556" t="n"/>
      <c r="Q177" s="554" t="n"/>
    </row>
    <row r="178">
      <c r="B178" s="560" t="n"/>
      <c r="C178" s="323" t="n"/>
      <c r="D178" s="556" t="n"/>
      <c r="E178" s="556" t="n"/>
      <c r="F178" s="556" t="n"/>
      <c r="G178" s="556" t="n"/>
      <c r="H178" s="556" t="n"/>
      <c r="I178" s="556" t="n"/>
      <c r="J178" s="556" t="n"/>
      <c r="K178" s="556" t="n"/>
      <c r="L178" s="556" t="n"/>
      <c r="M178" s="556" t="n"/>
      <c r="N178" s="556" t="n"/>
      <c r="O178" s="556" t="n"/>
      <c r="P178" s="556" t="n"/>
      <c r="Q178" s="554" t="n"/>
    </row>
    <row customHeight="1" ht="15.75" r="179" s="663">
      <c r="B179" s="607" t="inlineStr">
        <is>
          <t>2015 Open Class Standards Table</t>
        </is>
      </c>
      <c r="C179" s="323" t="n"/>
      <c r="D179" s="556" t="n"/>
      <c r="E179" s="556" t="n"/>
      <c r="F179" s="556" t="n"/>
      <c r="G179" s="556" t="n"/>
      <c r="H179" s="556" t="n"/>
      <c r="I179" s="556" t="n"/>
      <c r="J179" s="556" t="n"/>
      <c r="K179" s="556" t="n"/>
      <c r="L179" s="556" t="n"/>
      <c r="M179" s="556" t="n"/>
      <c r="N179" s="556" t="n"/>
      <c r="O179" s="556" t="n"/>
      <c r="P179" s="556" t="n"/>
      <c r="Q179" s="554" t="n"/>
    </row>
    <row r="180">
      <c r="B180" s="560" t="inlineStr">
        <is>
          <t xml:space="preserve">To the right of the Extended Projection Table is a Table of Open Class Time Standards taken from the 2015 Age Grading Tables, maintained by Alan Jones. These times represent </t>
        </is>
      </c>
      <c r="C180" s="323" t="n"/>
      <c r="D180" s="556" t="n"/>
      <c r="E180" s="556" t="n"/>
      <c r="F180" s="556" t="n"/>
      <c r="G180" s="556" t="n"/>
      <c r="H180" s="556" t="n"/>
      <c r="I180" s="556" t="n"/>
      <c r="J180" s="556" t="n"/>
      <c r="K180" s="556" t="n"/>
      <c r="L180" s="556" t="n"/>
      <c r="M180" s="556" t="n"/>
      <c r="N180" s="556" t="n"/>
      <c r="O180" s="556" t="n"/>
      <c r="P180" s="556" t="n"/>
      <c r="Q180" s="554" t="n"/>
    </row>
    <row r="181">
      <c r="B181" s="560" t="inlineStr">
        <is>
          <t xml:space="preserve">World Records and World Best times. Some of these times have been eclipsed since 2015, but to keep things simple I stuck with the original times from the tables. </t>
        </is>
      </c>
      <c r="C181" s="323" t="n"/>
      <c r="D181" s="556" t="n"/>
      <c r="E181" s="556" t="n"/>
      <c r="F181" s="556" t="n"/>
      <c r="G181" s="556" t="n"/>
      <c r="H181" s="556" t="n"/>
      <c r="I181" s="556" t="n"/>
      <c r="J181" s="556" t="n"/>
      <c r="K181" s="556" t="n"/>
      <c r="L181" s="556" t="n"/>
      <c r="M181" s="556" t="n"/>
      <c r="N181" s="556" t="n"/>
      <c r="O181" s="556" t="n"/>
      <c r="P181" s="556" t="n"/>
      <c r="Q181" s="554" t="n"/>
    </row>
    <row r="182">
      <c r="B182" s="560" t="inlineStr">
        <is>
          <t xml:space="preserve">The times in the table are not locked, and can easily be edited if you desire to do so. </t>
        </is>
      </c>
      <c r="C182" s="323" t="n"/>
      <c r="D182" s="556" t="n"/>
      <c r="E182" s="556" t="n"/>
      <c r="F182" s="556" t="n"/>
      <c r="G182" s="556" t="n"/>
      <c r="H182" s="556" t="n"/>
      <c r="I182" s="556" t="n"/>
      <c r="J182" s="556" t="n"/>
      <c r="K182" s="556" t="n"/>
      <c r="L182" s="556" t="n"/>
      <c r="M182" s="556" t="n"/>
      <c r="N182" s="556" t="n"/>
      <c r="O182" s="556" t="n"/>
      <c r="P182" s="556" t="n"/>
      <c r="Q182" s="554" t="n"/>
    </row>
    <row r="183">
      <c r="B183" s="560" t="n"/>
      <c r="C183" s="323" t="n"/>
      <c r="D183" s="556" t="n"/>
      <c r="E183" s="556" t="n"/>
      <c r="F183" s="556" t="n"/>
      <c r="G183" s="556" t="n"/>
      <c r="H183" s="556" t="n"/>
      <c r="I183" s="556" t="n"/>
      <c r="J183" s="556" t="n"/>
      <c r="K183" s="556" t="n"/>
      <c r="L183" s="556" t="n"/>
      <c r="M183" s="556" t="n"/>
      <c r="N183" s="556" t="n"/>
      <c r="O183" s="556" t="n"/>
      <c r="P183" s="556" t="n"/>
      <c r="Q183" s="554" t="n"/>
    </row>
    <row r="184">
      <c r="B184" s="560" t="inlineStr">
        <is>
          <t>You'll also notice a listing of distance equivalents for each distance in a very light font to the left of the Open Class Standards Table. I left this data slightly visible because it is used in</t>
        </is>
      </c>
      <c r="C184" s="323" t="n"/>
      <c r="D184" s="556" t="n"/>
      <c r="E184" s="556" t="n"/>
      <c r="F184" s="556" t="n"/>
      <c r="G184" s="556" t="n"/>
      <c r="H184" s="556" t="n"/>
      <c r="I184" s="556" t="n"/>
      <c r="J184" s="556" t="n"/>
      <c r="K184" s="556" t="n"/>
      <c r="L184" s="556" t="n"/>
      <c r="M184" s="556" t="n"/>
      <c r="N184" s="556" t="n"/>
      <c r="O184" s="556" t="n"/>
      <c r="P184" s="556" t="n"/>
      <c r="Q184" s="554" t="n"/>
    </row>
    <row r="185">
      <c r="B185" s="560" t="inlineStr">
        <is>
          <t>some of the worksheet formulas. Due to its location, I was concerned if I made the list completely invisible, it may get accidentally erased if someone starts poking around with protection turned off.</t>
        </is>
      </c>
      <c r="C185" s="323" t="n"/>
      <c r="D185" s="556" t="n"/>
      <c r="E185" s="556" t="n"/>
      <c r="F185" s="556" t="n"/>
      <c r="G185" s="556" t="n"/>
      <c r="H185" s="556" t="n"/>
      <c r="I185" s="556" t="n"/>
      <c r="J185" s="556" t="n"/>
      <c r="K185" s="556" t="n"/>
      <c r="L185" s="556" t="n"/>
      <c r="M185" s="556" t="n"/>
      <c r="N185" s="556" t="n"/>
      <c r="O185" s="556" t="n"/>
      <c r="P185" s="556" t="n"/>
      <c r="Q185" s="554" t="n"/>
    </row>
    <row r="186">
      <c r="B186" s="560" t="inlineStr">
        <is>
          <t>Besides, occasionlly I need to know what the exact equivalents are in miles for the KM, 1/2 Mar, and Marathon distances, and I find this list handy for that.</t>
        </is>
      </c>
      <c r="C186" s="323" t="n"/>
      <c r="D186" s="556" t="n"/>
      <c r="E186" s="556" t="n"/>
      <c r="F186" s="556" t="n"/>
      <c r="G186" s="556" t="n"/>
      <c r="H186" s="556" t="n"/>
      <c r="I186" s="556" t="n"/>
      <c r="J186" s="556" t="n"/>
      <c r="K186" s="556" t="n"/>
      <c r="L186" s="556" t="n"/>
      <c r="M186" s="556" t="n"/>
      <c r="N186" s="556" t="n"/>
      <c r="O186" s="556" t="n"/>
      <c r="P186" s="556" t="n"/>
      <c r="Q186" s="554" t="n"/>
    </row>
    <row r="187">
      <c r="B187" s="560" t="n"/>
      <c r="C187" s="323" t="n"/>
      <c r="D187" s="556" t="n"/>
      <c r="E187" s="556" t="n"/>
      <c r="F187" s="556" t="n"/>
      <c r="G187" s="556" t="n"/>
      <c r="H187" s="556" t="n"/>
      <c r="I187" s="556" t="n"/>
      <c r="J187" s="556" t="n"/>
      <c r="K187" s="556" t="n"/>
      <c r="L187" s="556" t="n"/>
      <c r="M187" s="556" t="n"/>
      <c r="N187" s="556" t="n"/>
      <c r="O187" s="556" t="n"/>
      <c r="P187" s="556" t="n"/>
      <c r="Q187" s="554" t="n"/>
    </row>
    <row customHeight="1" ht="15.75" r="188" s="663">
      <c r="B188" s="607" t="inlineStr">
        <is>
          <t>Entry Time Age Grading and Adjustments</t>
        </is>
      </c>
      <c r="C188" s="323" t="n"/>
      <c r="D188" s="556" t="n"/>
      <c r="E188" s="556" t="n"/>
      <c r="F188" s="556" t="n"/>
      <c r="G188" s="556" t="n"/>
      <c r="H188" s="556" t="n"/>
      <c r="I188" s="556" t="n"/>
      <c r="J188" s="556" t="n"/>
      <c r="K188" s="556" t="n"/>
      <c r="L188" s="556" t="n"/>
      <c r="M188" s="556" t="n"/>
      <c r="N188" s="556" t="n"/>
      <c r="O188" s="556" t="n"/>
      <c r="P188" s="556" t="n"/>
      <c r="Q188" s="554" t="n"/>
    </row>
    <row r="189">
      <c r="B189" s="560" t="inlineStr">
        <is>
          <t>Below the Extended Projection Table is the Adjusted Time calculator. The Baseline Time defaults to the Entry Time entered by the user at the top of the sheet,</t>
        </is>
      </c>
      <c r="C189" s="323" t="n"/>
      <c r="D189" s="556" t="n"/>
      <c r="E189" s="556" t="n"/>
      <c r="F189" s="556" t="n"/>
      <c r="G189" s="556" t="n"/>
      <c r="H189" s="556" t="n"/>
      <c r="I189" s="556" t="n"/>
      <c r="J189" s="556" t="n"/>
      <c r="K189" s="556" t="n"/>
      <c r="L189" s="556" t="n"/>
      <c r="M189" s="556" t="n"/>
      <c r="N189" s="556" t="n"/>
      <c r="O189" s="556" t="n"/>
      <c r="P189" s="556" t="n"/>
      <c r="Q189" s="554" t="n"/>
    </row>
    <row r="190">
      <c r="B190" s="560" t="inlineStr">
        <is>
          <t>but can be overwritten with any time value.  There is a button to restore the original Entry Time if needed.</t>
        </is>
      </c>
      <c r="C190" s="323" t="n"/>
      <c r="D190" s="556" t="n"/>
      <c r="E190" s="556" t="n"/>
      <c r="F190" s="556" t="n"/>
      <c r="G190" s="556" t="n"/>
      <c r="H190" s="556" t="n"/>
      <c r="I190" s="556" t="n"/>
      <c r="J190" s="556" t="n"/>
      <c r="K190" s="556" t="n"/>
      <c r="L190" s="556" t="n"/>
      <c r="M190" s="556" t="n"/>
      <c r="N190" s="556" t="n"/>
      <c r="O190" s="556" t="n"/>
      <c r="P190" s="556" t="n"/>
      <c r="Q190" s="554" t="n"/>
    </row>
    <row r="191">
      <c r="B191" s="560" t="n"/>
      <c r="C191" s="323" t="n"/>
      <c r="D191" s="556" t="n"/>
      <c r="E191" s="556" t="n"/>
      <c r="F191" s="556" t="n"/>
      <c r="G191" s="556" t="n"/>
      <c r="H191" s="556" t="n"/>
      <c r="I191" s="556" t="n"/>
      <c r="J191" s="556" t="n"/>
      <c r="K191" s="556" t="n"/>
      <c r="L191" s="556" t="n"/>
      <c r="M191" s="556" t="n"/>
      <c r="N191" s="556" t="n"/>
      <c r="O191" s="556" t="n"/>
      <c r="P191" s="556" t="n"/>
      <c r="Q191" s="554" t="n"/>
    </row>
    <row r="192">
      <c r="B192" s="662" t="inlineStr">
        <is>
          <t>The Age Grading section calculates an equivalent time effort for an Open Class Elite runner competing under optimal conditions.</t>
        </is>
      </c>
      <c r="C192" s="323" t="n"/>
      <c r="D192" s="556" t="n"/>
      <c r="E192" s="556" t="n"/>
      <c r="F192" s="556" t="n"/>
      <c r="G192" s="556" t="n"/>
      <c r="H192" s="556" t="n"/>
      <c r="I192" s="556" t="n"/>
      <c r="J192" s="556" t="n"/>
      <c r="K192" s="556" t="n"/>
      <c r="L192" s="556" t="n"/>
      <c r="M192" s="556" t="n"/>
      <c r="N192" s="556" t="n"/>
      <c r="O192" s="556" t="n"/>
      <c r="P192" s="556" t="n"/>
      <c r="Q192" s="554" t="n"/>
    </row>
    <row r="193">
      <c r="B193" s="560" t="inlineStr">
        <is>
          <t xml:space="preserve">The Weight Grading section calculates approximate time adustments for a user enterable weight change. </t>
        </is>
      </c>
      <c r="C193" s="323" t="n"/>
      <c r="D193" s="556" t="n"/>
      <c r="E193" s="556" t="n"/>
      <c r="F193" s="556" t="n"/>
      <c r="G193" s="556" t="n"/>
      <c r="H193" s="556" t="n"/>
      <c r="I193" s="556" t="n"/>
      <c r="J193" s="556" t="n"/>
      <c r="K193" s="556" t="n"/>
      <c r="L193" s="556" t="n"/>
      <c r="M193" s="556" t="n"/>
      <c r="N193" s="556" t="n"/>
      <c r="O193" s="556" t="n"/>
      <c r="P193" s="556" t="n"/>
      <c r="Q193" s="554" t="n"/>
    </row>
    <row r="194">
      <c r="B194" s="560" t="n"/>
      <c r="C194" s="556" t="inlineStr">
        <is>
          <t>Weight Grading is applied after Age Grading, therefore, the weight adjusted value will change depending on whether the Age Grading is enabled or disabled.</t>
        </is>
      </c>
      <c r="D194" s="556" t="n"/>
      <c r="E194" s="556" t="n"/>
      <c r="F194" s="556" t="n"/>
      <c r="G194" s="556" t="n"/>
      <c r="H194" s="556" t="n"/>
      <c r="I194" s="556" t="n"/>
      <c r="J194" s="556" t="n"/>
      <c r="K194" s="556" t="n"/>
      <c r="L194" s="556" t="n"/>
      <c r="M194" s="556" t="n"/>
      <c r="N194" s="556" t="n"/>
      <c r="O194" s="556" t="n"/>
      <c r="P194" s="556" t="n"/>
      <c r="Q194" s="554" t="n"/>
    </row>
    <row r="195">
      <c r="B195" s="560" t="n"/>
      <c r="C195" s="556" t="inlineStr">
        <is>
          <t>The weight entry defaults to the Stillman Ideal Weight calculation for Medium Distance Runners, and is based on the User info for height and sex. The default value can be overwritten.</t>
        </is>
      </c>
      <c r="D195" s="556" t="n"/>
      <c r="E195" s="556" t="n"/>
      <c r="F195" s="556" t="n"/>
      <c r="G195" s="556" t="n"/>
      <c r="H195" s="556" t="n"/>
      <c r="I195" s="556" t="n"/>
      <c r="J195" s="556" t="n"/>
      <c r="K195" s="556" t="n"/>
      <c r="L195" s="556" t="n"/>
      <c r="M195" s="556" t="n"/>
      <c r="N195" s="556" t="n"/>
      <c r="O195" s="556" t="n"/>
      <c r="P195" s="556" t="n"/>
      <c r="Q195" s="554" t="n"/>
    </row>
    <row r="196">
      <c r="B196" s="560" t="n"/>
      <c r="C196" s="556" t="inlineStr">
        <is>
          <t>There are buttons to select the Stillman Ideal weight for Middle or Long Distance runners, or the weight corresponding to BMI 18.5.</t>
        </is>
      </c>
      <c r="D196" s="556" t="n"/>
      <c r="E196" s="556" t="n"/>
      <c r="F196" s="556" t="n"/>
      <c r="G196" s="556" t="n"/>
      <c r="H196" s="556" t="n"/>
      <c r="I196" s="556" t="n"/>
      <c r="J196" s="556" t="n"/>
      <c r="K196" s="556" t="n"/>
      <c r="L196" s="556" t="n"/>
      <c r="M196" s="556" t="n"/>
      <c r="N196" s="556" t="n"/>
      <c r="O196" s="556" t="n"/>
      <c r="P196" s="556" t="n"/>
      <c r="Q196" s="554" t="n"/>
    </row>
    <row r="197">
      <c r="B197" s="560" t="n"/>
      <c r="C197" s="556" t="inlineStr">
        <is>
          <t>These options offer three different base choices for a target weight goal. They produce some really low weights… but then, elite runners are *very* skinny.</t>
        </is>
      </c>
      <c r="D197" s="556" t="n"/>
      <c r="E197" s="556" t="n"/>
      <c r="F197" s="556" t="n"/>
      <c r="G197" s="556" t="n"/>
      <c r="H197" s="556" t="n"/>
      <c r="I197" s="556" t="n"/>
      <c r="J197" s="556" t="n"/>
      <c r="K197" s="556" t="n"/>
      <c r="L197" s="556" t="n"/>
      <c r="M197" s="556" t="n"/>
      <c r="N197" s="556" t="n"/>
      <c r="O197" s="556" t="n"/>
      <c r="P197" s="556" t="n"/>
      <c r="Q197" s="554" t="n"/>
    </row>
    <row r="198">
      <c r="B198" s="560" t="n"/>
      <c r="C198" s="556" t="inlineStr">
        <is>
          <t>I'm not suggesting every runner should aspire to achieve a BMI of 18.5. This may be a good goal for a top tier runner, but may not be realistic for others.</t>
        </is>
      </c>
      <c r="D198" s="556" t="n"/>
      <c r="E198" s="556" t="n"/>
      <c r="F198" s="556" t="n"/>
      <c r="G198" s="556" t="n"/>
      <c r="H198" s="556" t="n"/>
      <c r="I198" s="556" t="n"/>
      <c r="J198" s="556" t="n"/>
      <c r="K198" s="556" t="n"/>
      <c r="L198" s="556" t="n"/>
      <c r="M198" s="556" t="n"/>
      <c r="N198" s="556" t="n"/>
      <c r="O198" s="556" t="n"/>
      <c r="P198" s="556" t="n"/>
      <c r="Q198" s="554" t="n"/>
    </row>
    <row r="199">
      <c r="B199" s="560" t="n"/>
      <c r="C199" s="556" t="inlineStr">
        <is>
          <t>Set the a target from the three options you feel best fits your situation, or manually enter in your own realistic target weight.</t>
        </is>
      </c>
      <c r="D199" s="556" t="n"/>
      <c r="E199" s="556" t="n"/>
      <c r="F199" s="556" t="n"/>
      <c r="G199" s="556" t="n"/>
      <c r="H199" s="556" t="n"/>
      <c r="I199" s="556" t="n"/>
      <c r="J199" s="556" t="n"/>
      <c r="K199" s="556" t="n"/>
      <c r="L199" s="556" t="n"/>
      <c r="M199" s="556" t="n"/>
      <c r="N199" s="556" t="n"/>
      <c r="O199" s="556" t="n"/>
      <c r="P199" s="556" t="n"/>
      <c r="Q199" s="554" t="n"/>
    </row>
    <row r="200">
      <c r="B200" s="560" t="inlineStr">
        <is>
          <t xml:space="preserve">The Temperature Grading section calculates approximate time adustments for race temperatures greater than 60 degrees fahrenheit. </t>
        </is>
      </c>
      <c r="C200" s="323" t="n"/>
      <c r="D200" s="556" t="n"/>
      <c r="E200" s="556" t="n"/>
      <c r="F200" s="556" t="n"/>
      <c r="G200" s="556" t="n"/>
      <c r="H200" s="556" t="n"/>
      <c r="I200" s="556" t="n"/>
      <c r="J200" s="556" t="n"/>
      <c r="K200" s="556" t="n"/>
      <c r="L200" s="556" t="n"/>
      <c r="M200" s="556" t="n"/>
      <c r="N200" s="556" t="n"/>
      <c r="O200" s="556" t="n"/>
      <c r="P200" s="556" t="n"/>
      <c r="Q200" s="554" t="n"/>
    </row>
    <row r="201">
      <c r="B201" s="560" t="n"/>
      <c r="C201" s="323" t="n"/>
      <c r="D201" s="556" t="n"/>
      <c r="E201" s="556" t="n"/>
      <c r="F201" s="556" t="n"/>
      <c r="G201" s="556" t="n"/>
      <c r="H201" s="556" t="n"/>
      <c r="I201" s="556" t="n"/>
      <c r="J201" s="556" t="n"/>
      <c r="K201" s="556" t="n"/>
      <c r="L201" s="556" t="n"/>
      <c r="M201" s="556" t="n"/>
      <c r="N201" s="556" t="n"/>
      <c r="O201" s="556" t="n"/>
      <c r="P201" s="556" t="n"/>
      <c r="Q201" s="554" t="n"/>
    </row>
    <row r="202">
      <c r="B202" s="560" t="inlineStr">
        <is>
          <t xml:space="preserve">The Combined Adjusted Time section adjusts the Entry Time by the selected adjusments. What you end up with is an overall Equivalent Effort. </t>
        </is>
      </c>
      <c r="C202" s="323" t="n"/>
      <c r="D202" s="556" t="n"/>
      <c r="E202" s="556" t="n"/>
      <c r="F202" s="556" t="n"/>
      <c r="G202" s="556" t="n"/>
      <c r="H202" s="556" t="n"/>
      <c r="I202" s="556" t="n"/>
      <c r="J202" s="556" t="n"/>
      <c r="K202" s="556" t="n"/>
      <c r="L202" s="556" t="n"/>
      <c r="M202" s="556" t="n"/>
      <c r="N202" s="556" t="n"/>
      <c r="O202" s="556" t="n"/>
      <c r="P202" s="556" t="n"/>
      <c r="Q202" s="554" t="n"/>
    </row>
    <row r="203">
      <c r="B203" s="560" t="n"/>
      <c r="C203" s="556" t="inlineStr">
        <is>
          <t>That is, a calculated time you might expect to run under the selected conditions.</t>
        </is>
      </c>
      <c r="D203" s="556" t="n"/>
      <c r="E203" s="556" t="n"/>
      <c r="F203" s="556" t="n"/>
      <c r="G203" s="556" t="n"/>
      <c r="H203" s="556" t="n"/>
      <c r="I203" s="556" t="n"/>
      <c r="J203" s="556" t="n"/>
      <c r="K203" s="556" t="n"/>
      <c r="L203" s="556" t="n"/>
      <c r="M203" s="556" t="n"/>
      <c r="N203" s="556" t="n"/>
      <c r="O203" s="556" t="n"/>
      <c r="P203" s="556" t="n"/>
      <c r="Q203" s="554" t="n"/>
    </row>
    <row r="204">
      <c r="B204" s="560" t="n"/>
      <c r="C204" s="323" t="n"/>
      <c r="D204" s="556" t="n"/>
      <c r="E204" s="556" t="n"/>
      <c r="F204" s="556" t="n"/>
      <c r="G204" s="556" t="n"/>
      <c r="H204" s="556" t="n"/>
      <c r="I204" s="556" t="n"/>
      <c r="J204" s="556" t="n"/>
      <c r="K204" s="556" t="n"/>
      <c r="L204" s="556" t="n"/>
      <c r="M204" s="556" t="n"/>
      <c r="N204" s="556" t="n"/>
      <c r="O204" s="556" t="n"/>
      <c r="P204" s="556" t="n"/>
      <c r="Q204" s="554" t="n"/>
    </row>
    <row customHeight="1" ht="15.75" r="205" s="663">
      <c r="B205" s="607" t="inlineStr">
        <is>
          <t>Peak Potential</t>
        </is>
      </c>
      <c r="C205" s="323" t="n"/>
      <c r="D205" s="556" t="n"/>
      <c r="E205" s="556" t="n"/>
      <c r="F205" s="556" t="n"/>
      <c r="G205" s="556" t="n"/>
      <c r="H205" s="556" t="n"/>
      <c r="I205" s="556" t="n"/>
      <c r="J205" s="556" t="n"/>
      <c r="K205" s="556" t="n"/>
      <c r="L205" s="556" t="n"/>
      <c r="M205" s="556" t="n"/>
      <c r="N205" s="556" t="n"/>
      <c r="O205" s="556" t="n"/>
      <c r="P205" s="556" t="n"/>
      <c r="Q205" s="554" t="n"/>
    </row>
    <row r="206">
      <c r="B206" s="560" t="inlineStr">
        <is>
          <t>The Peak Potential section allows us to ponder a hypothetical maximum perfomance potential at current age and weight. This calculation is made by applying the user's weight and</t>
        </is>
      </c>
      <c r="C206" s="323" t="n"/>
      <c r="D206" s="556" t="n"/>
      <c r="E206" s="556" t="n"/>
      <c r="F206" s="556" t="n"/>
      <c r="G206" s="556" t="n"/>
      <c r="H206" s="556" t="n"/>
      <c r="I206" s="556" t="n"/>
      <c r="J206" s="556" t="n"/>
      <c r="K206" s="556" t="n"/>
      <c r="L206" s="556" t="n"/>
      <c r="M206" s="556" t="n"/>
      <c r="N206" s="556" t="n"/>
      <c r="O206" s="556" t="n"/>
      <c r="P206" s="556" t="n"/>
      <c r="Q206" s="554" t="n"/>
    </row>
    <row r="207">
      <c r="B207" s="560" t="inlineStr">
        <is>
          <t>age factors to the Open Standard (World Record) as recorded in the 2015 Age Grading Tables. Achieving close to this Peak Potential would represent an Elite level perfomance.</t>
        </is>
      </c>
      <c r="C207" s="323" t="n"/>
      <c r="D207" s="556" t="n"/>
      <c r="E207" s="556" t="n"/>
      <c r="F207" s="556" t="n"/>
      <c r="G207" s="556" t="n"/>
      <c r="H207" s="556" t="n"/>
      <c r="I207" s="556" t="n"/>
      <c r="J207" s="556" t="n"/>
      <c r="K207" s="556" t="n"/>
      <c r="L207" s="556" t="n"/>
      <c r="M207" s="556" t="n"/>
      <c r="N207" s="556" t="n"/>
      <c r="O207" s="556" t="n"/>
      <c r="P207" s="556" t="n"/>
      <c r="Q207" s="554" t="n"/>
    </row>
    <row r="208">
      <c r="B208" s="560" t="inlineStr">
        <is>
          <t>If your current race results are not close to your calculated Peak Potential, this implies you still have room for improvement, even at your current age and weight.</t>
        </is>
      </c>
      <c r="C208" s="323" t="n"/>
      <c r="D208" s="556" t="n"/>
      <c r="E208" s="556" t="n"/>
      <c r="F208" s="556" t="n"/>
      <c r="G208" s="556" t="n"/>
      <c r="H208" s="556" t="n"/>
      <c r="I208" s="556" t="n"/>
      <c r="J208" s="556" t="n"/>
      <c r="K208" s="556" t="n"/>
      <c r="L208" s="556" t="n"/>
      <c r="M208" s="556" t="n"/>
      <c r="N208" s="556" t="n"/>
      <c r="O208" s="556" t="n"/>
      <c r="P208" s="556" t="n"/>
      <c r="Q208" s="554" t="n"/>
    </row>
    <row r="209">
      <c r="B209" s="560" t="n"/>
      <c r="C209" s="323" t="n"/>
      <c r="D209" s="556" t="n"/>
      <c r="E209" s="556" t="n"/>
      <c r="F209" s="556" t="n"/>
      <c r="G209" s="556" t="n"/>
      <c r="H209" s="556" t="n"/>
      <c r="I209" s="556" t="n"/>
      <c r="J209" s="556" t="n"/>
      <c r="K209" s="556" t="n"/>
      <c r="L209" s="556" t="n"/>
      <c r="M209" s="556" t="n"/>
      <c r="N209" s="556" t="n"/>
      <c r="O209" s="556" t="n"/>
      <c r="P209" s="556" t="n"/>
      <c r="Q209" s="554" t="n"/>
    </row>
    <row r="210">
      <c r="B210" s="560" t="inlineStr">
        <is>
          <t>You can take this hypothetical analysis one step further, by adding a change in weight to the calculation.</t>
        </is>
      </c>
      <c r="C210" s="323" t="n"/>
      <c r="D210" s="556" t="n"/>
      <c r="E210" s="556" t="n"/>
      <c r="F210" s="556" t="n"/>
      <c r="G210" s="556" t="n"/>
      <c r="H210" s="556" t="n"/>
      <c r="I210" s="556" t="n"/>
      <c r="J210" s="556" t="n"/>
      <c r="K210" s="556" t="n"/>
      <c r="L210" s="556" t="n"/>
      <c r="M210" s="556" t="n"/>
      <c r="N210" s="556" t="n"/>
      <c r="O210" s="556" t="n"/>
      <c r="P210" s="556" t="n"/>
      <c r="Q210" s="554" t="n"/>
    </row>
    <row r="211">
      <c r="B211" s="560" t="inlineStr">
        <is>
          <t>The weight entry defaults to the Stillman Ideal Weight calculation for Long Distance Runners, and is based on the User info for height and sex.</t>
        </is>
      </c>
      <c r="C211" s="556" t="n"/>
      <c r="D211" s="556" t="n"/>
      <c r="E211" s="556" t="n"/>
      <c r="F211" s="556" t="n"/>
      <c r="G211" s="556" t="n"/>
      <c r="H211" s="556" t="n"/>
      <c r="I211" s="556" t="n"/>
      <c r="J211" s="556" t="n"/>
      <c r="K211" s="556" t="n"/>
      <c r="L211" s="556" t="n"/>
      <c r="M211" s="556" t="n"/>
      <c r="N211" s="556" t="n"/>
      <c r="O211" s="556" t="n"/>
      <c r="P211" s="556" t="n"/>
      <c r="Q211" s="554" t="n"/>
    </row>
    <row r="212">
      <c r="B212" s="560" t="inlineStr">
        <is>
          <t>The default value can be overwritten. There is a "Use Stillman" button which restores the Stillman calculation to both this section and the Time Grading Section above.</t>
        </is>
      </c>
      <c r="C212" s="323" t="n"/>
      <c r="D212" s="556" t="n"/>
      <c r="E212" s="556" t="n"/>
      <c r="F212" s="556" t="n"/>
      <c r="G212" s="556" t="n"/>
      <c r="H212" s="556" t="n"/>
      <c r="I212" s="556" t="n"/>
      <c r="J212" s="556" t="n"/>
      <c r="K212" s="556" t="n"/>
      <c r="L212" s="556" t="n"/>
      <c r="M212" s="556" t="n"/>
      <c r="N212" s="556" t="n"/>
      <c r="O212" s="556" t="n"/>
      <c r="P212" s="556" t="n"/>
      <c r="Q212" s="554" t="n"/>
    </row>
    <row r="213">
      <c r="B213" s="560" t="n"/>
      <c r="C213" s="323" t="n"/>
      <c r="D213" s="556" t="n"/>
      <c r="E213" s="556" t="n"/>
      <c r="F213" s="556" t="n"/>
      <c r="G213" s="556" t="n"/>
      <c r="H213" s="556" t="n"/>
      <c r="I213" s="556" t="n"/>
      <c r="J213" s="556" t="n"/>
      <c r="K213" s="556" t="n"/>
      <c r="L213" s="556" t="n"/>
      <c r="M213" s="556" t="n"/>
      <c r="N213" s="556" t="n"/>
      <c r="O213" s="556" t="n"/>
      <c r="P213" s="556" t="n"/>
      <c r="Q213" s="554" t="n"/>
    </row>
    <row r="214">
      <c r="B214" s="562" t="inlineStr">
        <is>
          <t>** These are calculated estimations based on science, not guaranteed results. The intention is to give some general insight into potential max performance.</t>
        </is>
      </c>
      <c r="C214" s="323" t="n"/>
      <c r="D214" s="556" t="n"/>
      <c r="E214" s="556" t="n"/>
      <c r="F214" s="556" t="n"/>
      <c r="G214" s="556" t="n"/>
      <c r="H214" s="556" t="n"/>
      <c r="I214" s="556" t="n"/>
      <c r="J214" s="556" t="n"/>
      <c r="K214" s="556" t="n"/>
      <c r="L214" s="556" t="n"/>
      <c r="M214" s="556" t="n"/>
      <c r="N214" s="556" t="n"/>
      <c r="O214" s="556" t="n"/>
      <c r="P214" s="556" t="n"/>
      <c r="Q214" s="554" t="n"/>
    </row>
    <row r="215">
      <c r="B215" s="562" t="inlineStr">
        <is>
          <t>** Note that The Entry Time Grading &amp; Peak Potential sections will only calculate down to the BMI / Stillman minimums, and won't calculate a weight adjusted time lower than the Age Standard.</t>
        </is>
      </c>
      <c r="C215" s="323" t="n"/>
      <c r="D215" s="556" t="n"/>
      <c r="E215" s="556" t="n"/>
      <c r="F215" s="556" t="n"/>
      <c r="G215" s="556" t="n"/>
      <c r="H215" s="556" t="n"/>
      <c r="I215" s="556" t="n"/>
      <c r="J215" s="556" t="n"/>
      <c r="K215" s="556" t="n"/>
      <c r="L215" s="556" t="n"/>
      <c r="M215" s="556" t="n"/>
      <c r="N215" s="556" t="n"/>
      <c r="O215" s="556" t="n"/>
      <c r="P215" s="556" t="n"/>
      <c r="Q215" s="554" t="n"/>
    </row>
    <row r="216">
      <c r="B216" s="560" t="n"/>
      <c r="C216" s="323" t="n"/>
      <c r="D216" s="556" t="n"/>
      <c r="E216" s="556" t="n"/>
      <c r="F216" s="556" t="n"/>
      <c r="G216" s="556" t="n"/>
      <c r="H216" s="556" t="n"/>
      <c r="I216" s="556" t="n"/>
      <c r="J216" s="556" t="n"/>
      <c r="K216" s="556" t="n"/>
      <c r="L216" s="556" t="n"/>
      <c r="M216" s="556" t="n"/>
      <c r="N216" s="556" t="n"/>
      <c r="O216" s="556" t="n"/>
      <c r="P216" s="556" t="n"/>
      <c r="Q216" s="554" t="n"/>
    </row>
    <row customHeight="1" ht="15.75" r="217" s="663">
      <c r="B217" s="607" t="inlineStr">
        <is>
          <t>Misc Calculators</t>
        </is>
      </c>
      <c r="C217" s="323" t="n"/>
      <c r="D217" s="556" t="n"/>
      <c r="E217" s="556" t="n"/>
      <c r="F217" s="556" t="n"/>
      <c r="G217" s="556" t="n"/>
      <c r="H217" s="556" t="n"/>
      <c r="I217" s="556" t="n"/>
      <c r="J217" s="556" t="n"/>
      <c r="K217" s="556" t="n"/>
      <c r="L217" s="556" t="n"/>
      <c r="M217" s="556" t="n"/>
      <c r="N217" s="556" t="n"/>
      <c r="O217" s="556" t="n"/>
      <c r="P217" s="556" t="n"/>
      <c r="Q217" s="554" t="n"/>
    </row>
    <row r="218">
      <c r="B218" s="560" t="inlineStr">
        <is>
          <t>The remaining sections at the lower right provide various miscellaneous calculations and US to metric / metric to US measurement conversions.</t>
        </is>
      </c>
      <c r="C218" s="323" t="n"/>
      <c r="D218" s="556" t="n"/>
      <c r="E218" s="556" t="n"/>
      <c r="F218" s="556" t="n"/>
      <c r="G218" s="556" t="n"/>
      <c r="H218" s="556" t="n"/>
      <c r="I218" s="556" t="n"/>
      <c r="J218" s="556" t="n"/>
      <c r="K218" s="556" t="n"/>
      <c r="L218" s="556" t="n"/>
      <c r="M218" s="556" t="n"/>
      <c r="N218" s="556" t="n"/>
      <c r="O218" s="556" t="n"/>
      <c r="P218" s="556" t="n"/>
      <c r="Q218" s="554" t="n"/>
    </row>
    <row customHeight="1" ht="13.5" r="219" s="663" thickBot="1">
      <c r="B219" s="614" t="n"/>
      <c r="C219" s="615" t="n"/>
      <c r="D219" s="616" t="n"/>
      <c r="E219" s="616" t="n"/>
      <c r="F219" s="616" t="n"/>
      <c r="G219" s="616" t="n"/>
      <c r="H219" s="616" t="n"/>
      <c r="I219" s="616" t="n"/>
      <c r="J219" s="616" t="n"/>
      <c r="K219" s="616" t="n"/>
      <c r="L219" s="616" t="n"/>
      <c r="M219" s="616" t="n"/>
      <c r="N219" s="616" t="n"/>
      <c r="O219" s="616" t="n"/>
      <c r="P219" s="616" t="n"/>
      <c r="Q219" s="617" t="n"/>
    </row>
    <row r="220">
      <c r="B220" s="560" t="n"/>
      <c r="C220" s="323" t="n"/>
      <c r="D220" s="556" t="n"/>
      <c r="E220" s="556" t="n"/>
      <c r="F220" s="556" t="n"/>
      <c r="G220" s="556" t="n"/>
      <c r="H220" s="556" t="n"/>
      <c r="I220" s="556" t="n"/>
      <c r="J220" s="556" t="n"/>
      <c r="K220" s="556" t="n"/>
      <c r="L220" s="556" t="n"/>
      <c r="M220" s="556" t="n"/>
      <c r="N220" s="556" t="n"/>
      <c r="O220" s="556" t="n"/>
      <c r="P220" s="556" t="n"/>
      <c r="Q220" s="554" t="n"/>
    </row>
    <row customHeight="1" ht="15.75" r="221" s="663">
      <c r="B221" s="607" t="inlineStr">
        <is>
          <t>References</t>
        </is>
      </c>
      <c r="C221" s="323" t="n"/>
      <c r="D221" s="556" t="n"/>
      <c r="E221" s="556" t="n"/>
      <c r="F221" s="556" t="n"/>
      <c r="G221" s="556" t="n"/>
      <c r="H221" s="556" t="n"/>
      <c r="I221" s="556" t="n"/>
      <c r="J221" s="556" t="n"/>
      <c r="K221" s="556" t="n"/>
      <c r="L221" s="556" t="n"/>
      <c r="M221" s="556" t="n"/>
      <c r="N221" s="556" t="n"/>
      <c r="O221" s="556" t="n"/>
      <c r="P221" s="556" t="n"/>
      <c r="Q221" s="554" t="n"/>
    </row>
    <row r="222">
      <c r="B222" s="560" t="inlineStr">
        <is>
          <t>Original worksheet developed by Herman Nieuwendaal - herm@electricblues.com - 06/02/2006</t>
        </is>
      </c>
      <c r="C222" s="1065" t="n"/>
      <c r="K222">
        <f>"This update is "&amp;RIGHT('Daniels Tables'!G2,10)</f>
        <v/>
      </c>
      <c r="N222" s="567" t="inlineStr">
        <is>
          <t xml:space="preserve">Dated: </t>
        </is>
      </c>
      <c r="O222" s="608">
        <f>'Daniels Tables'!R2</f>
        <v/>
      </c>
      <c r="Q222" s="635" t="n"/>
    </row>
    <row r="223">
      <c r="B223" s="662" t="n"/>
      <c r="C223" s="1065" t="n"/>
      <c r="E223" s="569" t="inlineStr">
        <is>
          <t xml:space="preserve">Download the latest version at: </t>
        </is>
      </c>
      <c r="F223" s="1064" t="inlineStr">
        <is>
          <t>http://www.electricblues.com/runpro.html</t>
        </is>
      </c>
      <c r="Q223" s="635" t="n"/>
    </row>
    <row r="224">
      <c r="B224" s="662" t="n"/>
      <c r="C224" s="1065" t="n"/>
      <c r="Q224" s="635" t="n"/>
    </row>
    <row r="225">
      <c r="B225" s="570" t="inlineStr">
        <is>
          <t>Bibliography/Works Cited</t>
        </is>
      </c>
      <c r="Q225" s="635" t="n"/>
    </row>
    <row r="226">
      <c r="B226" s="571" t="inlineStr">
        <is>
          <t>Daniels, Jack, and Jimmy Gilbert.  Oxygen Power: Performance Tables for Distance Runners. Jack Daniels, Jimmy Gilbert c1979</t>
        </is>
      </c>
      <c r="Q226" s="635" t="n"/>
    </row>
    <row r="227">
      <c r="B227" s="662" t="inlineStr">
        <is>
          <t>Daniels, Jack. Daniels' Running Formula (1nd Edition). Champaign, IL : Human Kinetics, c1998.</t>
        </is>
      </c>
      <c r="Q227" s="635" t="n"/>
    </row>
    <row r="228">
      <c r="B228" s="662" t="inlineStr">
        <is>
          <t>Daniels, Jack. Daniels' Running Formula (2nd Edition). Champaign, IL : Human Kinetics, c2005.</t>
        </is>
      </c>
      <c r="Q228" s="635" t="n"/>
    </row>
    <row r="229">
      <c r="B229" s="662" t="n"/>
      <c r="C229" s="1065" t="n"/>
      <c r="Q229" s="635" t="n"/>
    </row>
    <row r="230">
      <c r="B230" s="662" t="inlineStr">
        <is>
          <t xml:space="preserve">McMillan, Greg. McMillan's 6 Step Training System - Step #4: The 12 Key Workouts. McMillan Running Company, Inc. Copyright © 2006 </t>
        </is>
      </c>
      <c r="C230" s="1065" t="n"/>
      <c r="Q230" s="635" t="n"/>
    </row>
    <row r="231">
      <c r="B231" s="662" t="n"/>
      <c r="C231" s="569" t="inlineStr">
        <is>
          <t xml:space="preserve">Website - </t>
        </is>
      </c>
      <c r="D231" s="1064" t="inlineStr">
        <is>
          <t>http://www.mcmillanrunning.com</t>
        </is>
      </c>
      <c r="H231" s="1065" t="inlineStr">
        <is>
          <t xml:space="preserve">Web Page Referenced - </t>
        </is>
      </c>
      <c r="J231" s="1064" t="inlineStr">
        <is>
          <t>http://www.mcmillanrunning.com/training4.htm</t>
        </is>
      </c>
      <c r="Q231" s="635" t="n"/>
    </row>
    <row r="232">
      <c r="B232" s="662" t="n"/>
      <c r="C232" s="569" t="n"/>
      <c r="D232" s="1064" t="n"/>
      <c r="E232" s="1064" t="n"/>
      <c r="F232" s="1064" t="n"/>
      <c r="G232" s="1064" t="n"/>
      <c r="H232" s="1065" t="n"/>
      <c r="I232" s="1065" t="n"/>
      <c r="J232" s="1064" t="n"/>
      <c r="K232" s="1064" t="n"/>
      <c r="L232" s="1064" t="n"/>
      <c r="M232" s="1064" t="n"/>
      <c r="N232" s="1064" t="n"/>
      <c r="Q232" s="635" t="n"/>
    </row>
    <row r="233">
      <c r="B233" s="662" t="inlineStr">
        <is>
          <t>Friel, Joe. Quick Guide to Training with Heart Rate, Power and Pace.</t>
        </is>
      </c>
      <c r="C233" s="569" t="n"/>
      <c r="D233" s="1064" t="n"/>
      <c r="E233" s="1064" t="n"/>
      <c r="F233" s="1064" t="n"/>
      <c r="G233" s="1064" t="n"/>
      <c r="H233" s="1065" t="n"/>
      <c r="I233" s="1065" t="n"/>
      <c r="J233" s="1064" t="n"/>
      <c r="K233" s="1064" t="n"/>
      <c r="L233" s="1064" t="n"/>
      <c r="M233" s="1064" t="n"/>
      <c r="N233" s="1064" t="n"/>
      <c r="Q233" s="635" t="n"/>
    </row>
    <row r="234">
      <c r="B234" s="662" t="n"/>
      <c r="C234" s="569" t="inlineStr">
        <is>
          <t xml:space="preserve">Website - </t>
        </is>
      </c>
      <c r="D234" s="1066" t="inlineStr">
        <is>
          <t>http://www.joefrielsblog.com/</t>
        </is>
      </c>
      <c r="H234" s="1065" t="inlineStr">
        <is>
          <t xml:space="preserve">Web Page Referenced - </t>
        </is>
      </c>
      <c r="J234" s="1066" t="inlineStr">
        <is>
          <t>Joe Friel's Quick Guide to Training with Heart Rate, Power and Pace</t>
        </is>
      </c>
      <c r="Q234" s="635" t="n"/>
    </row>
    <row r="235">
      <c r="B235" s="662" t="n"/>
      <c r="C235" s="1065" t="n"/>
      <c r="Q235" s="635" t="n"/>
    </row>
    <row r="236">
      <c r="B236" s="662" t="inlineStr">
        <is>
          <t>Dr. Stillman Ideal Running Weight.</t>
        </is>
      </c>
      <c r="C236" s="1065" t="n"/>
      <c r="F236" t="inlineStr">
        <is>
          <t>Calculator:</t>
        </is>
      </c>
      <c r="G236" s="1063" t="inlineStr">
        <is>
          <t>https://runbundle.com/tools/stillman-weight-calculator</t>
        </is>
      </c>
      <c r="Q236" s="635" t="n"/>
    </row>
    <row r="237">
      <c r="B237" s="662" t="n"/>
      <c r="C237" s="1065" t="n"/>
      <c r="F237" t="inlineStr">
        <is>
          <t>More Info:</t>
        </is>
      </c>
      <c r="G237" s="1063" t="inlineStr">
        <is>
          <t>https://cicerunner.wordpress.com/2014/06/01/stillman-running-weight/</t>
        </is>
      </c>
      <c r="Q237" s="635" t="n"/>
    </row>
    <row r="238">
      <c r="B238" s="662" t="n"/>
      <c r="C238" s="1065" t="n"/>
      <c r="Q238" s="635" t="n"/>
    </row>
    <row r="239">
      <c r="B239" s="570" t="inlineStr">
        <is>
          <t>Contributors</t>
        </is>
      </c>
      <c r="Q239" s="635" t="n"/>
    </row>
    <row r="240">
      <c r="B240" s="662" t="inlineStr">
        <is>
          <t>Riegel, Pete - Developed the race time projection model used in this worksheet.  T2=T1*(D2/D1)^1.06</t>
        </is>
      </c>
      <c r="Q240" s="635" t="n"/>
    </row>
    <row r="241">
      <c r="B241" s="662" t="n"/>
      <c r="C241" t="inlineStr">
        <is>
          <t xml:space="preserve">     Founding Member, Association of Road Racing Statisticians.</t>
        </is>
      </c>
      <c r="I241" s="1063" t="inlineStr">
        <is>
          <t>http://www.arrs.net&gt;&lt;Riegelpete@aol.com</t>
        </is>
      </c>
      <c r="Q241" s="635" t="n"/>
    </row>
    <row r="242">
      <c r="B242" s="662" t="n"/>
      <c r="I242" s="1063" t="n"/>
      <c r="J242" s="1063" t="n"/>
      <c r="K242" s="1063" t="n"/>
      <c r="L242" s="1063" t="n"/>
      <c r="Q242" s="635" t="n"/>
    </row>
    <row r="243">
      <c r="B243" s="610" t="inlineStr">
        <is>
          <t xml:space="preserve">Alan Jones -  Maintains WMA/USATF Age Grade Tables. </t>
        </is>
      </c>
      <c r="I243" s="1062" t="inlineStr">
        <is>
          <t>2015 Age Grade Tables</t>
        </is>
      </c>
      <c r="Q243" s="635" t="n"/>
    </row>
    <row r="244">
      <c r="B244" s="610" t="n"/>
      <c r="Q244" s="635" t="n"/>
    </row>
    <row r="245">
      <c r="B245" s="662" t="inlineStr">
        <is>
          <t xml:space="preserve">WMA - World Masters Association (Formerly WAVA)  </t>
        </is>
      </c>
      <c r="I245" s="1062" t="inlineStr">
        <is>
          <t>http://www.world-masters-athletics.org</t>
        </is>
      </c>
      <c r="Q245" s="635" t="n"/>
    </row>
    <row r="246">
      <c r="B246" s="662" t="inlineStr">
        <is>
          <t>USATF Masters - USA Track and Field Age Grading</t>
        </is>
      </c>
      <c r="I246" s="1062" t="inlineStr">
        <is>
          <t>http://usatfmasters.org/wp/2018/08/age-grading/</t>
        </is>
      </c>
      <c r="Q246" s="635" t="n"/>
    </row>
    <row r="247">
      <c r="B247" s="662" t="inlineStr">
        <is>
          <t>IAAF - International Association of Athletics Federations</t>
        </is>
      </c>
      <c r="I247" s="1062" t="inlineStr">
        <is>
          <t>http://www.iaaf.org</t>
        </is>
      </c>
      <c r="Q247" s="635" t="n"/>
    </row>
    <row customHeight="1" ht="13.5" r="248" s="663" thickBot="1">
      <c r="B248" s="575" t="n"/>
      <c r="C248" s="576" t="n"/>
      <c r="D248" s="640" t="n"/>
      <c r="E248" s="640" t="n"/>
      <c r="F248" s="640" t="n"/>
      <c r="G248" s="640" t="n"/>
      <c r="H248" s="640" t="n"/>
      <c r="I248" s="640" t="n"/>
      <c r="J248" s="640" t="n"/>
      <c r="K248" s="640" t="n"/>
      <c r="L248" s="640" t="n"/>
      <c r="M248" s="640" t="n"/>
      <c r="N248" s="640" t="n"/>
      <c r="O248" s="640" t="n"/>
      <c r="P248" s="640" t="n"/>
      <c r="Q248" s="641" t="n"/>
    </row>
    <row r="249">
      <c r="B249" s="659" t="inlineStr">
        <is>
          <t xml:space="preserve"> </t>
        </is>
      </c>
    </row>
  </sheetData>
  <mergeCells count="14">
    <mergeCell ref="I245:L245"/>
    <mergeCell ref="I247:L247"/>
    <mergeCell ref="I243:K243"/>
    <mergeCell ref="I241:L241"/>
    <mergeCell ref="F223:J223"/>
    <mergeCell ref="D231:G231"/>
    <mergeCell ref="H231:I231"/>
    <mergeCell ref="J231:N231"/>
    <mergeCell ref="D234:G234"/>
    <mergeCell ref="H234:I234"/>
    <mergeCell ref="J234:P234"/>
    <mergeCell ref="I246:L246"/>
    <mergeCell ref="G236:K236"/>
    <mergeCell ref="G237:M237"/>
  </mergeCells>
  <hyperlinks>
    <hyperlink xmlns:r="http://schemas.openxmlformats.org/officeDocument/2006/relationships" display="http://www.electricblues.com/runpro.html" ref="F223" r:id="rId1"/>
    <hyperlink xmlns:r="http://schemas.openxmlformats.org/officeDocument/2006/relationships" ref="D231" r:id="rId2"/>
    <hyperlink xmlns:r="http://schemas.openxmlformats.org/officeDocument/2006/relationships" ref="J231" r:id="rId3"/>
    <hyperlink xmlns:r="http://schemas.openxmlformats.org/officeDocument/2006/relationships" display="http://www.joefrielsblog.com/" ref="D234" r:id="rId4"/>
    <hyperlink xmlns:r="http://schemas.openxmlformats.org/officeDocument/2006/relationships" ref="J234" r:id="rId5"/>
    <hyperlink xmlns:r="http://schemas.openxmlformats.org/officeDocument/2006/relationships" ref="G236" r:id="rId6"/>
    <hyperlink xmlns:r="http://schemas.openxmlformats.org/officeDocument/2006/relationships" ref="G237" r:id="rId7"/>
    <hyperlink xmlns:r="http://schemas.openxmlformats.org/officeDocument/2006/relationships" ref="I241" r:id="rId8"/>
    <hyperlink xmlns:r="http://schemas.openxmlformats.org/officeDocument/2006/relationships" display="Alan Jones" ref="B243" r:id="rId9"/>
    <hyperlink xmlns:r="http://schemas.openxmlformats.org/officeDocument/2006/relationships" ref="I243" r:id="rId10"/>
    <hyperlink xmlns:r="http://schemas.openxmlformats.org/officeDocument/2006/relationships" ref="I245" r:id="rId11"/>
    <hyperlink xmlns:r="http://schemas.openxmlformats.org/officeDocument/2006/relationships" display="http://usatfmasters.org/wp/2018/08/age-grading/" ref="I246" r:id="rId12"/>
    <hyperlink xmlns:r="http://schemas.openxmlformats.org/officeDocument/2006/relationships" ref="I247" r:id="rId13"/>
  </hyperlinks>
  <pageMargins bottom="1" footer="0.5" header="0.5" left="0.75" right="0.75" top="1"/>
  <pageSetup horizontalDpi="4294967293" orientation="portrait" verticalDpi="0"/>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dc:creator xmlns:dc="http://purl.org/dc/elements/1.1/">Herm</dc:creator>
  <dcterms:created xmlns:dcterms="http://purl.org/dc/terms/" xmlns:xsi="http://www.w3.org/2001/XMLSchema-instance" xsi:type="dcterms:W3CDTF">2018-11-28T21:48:46Z</dcterms:created>
  <dcterms:modified xmlns:dcterms="http://purl.org/dc/terms/" xmlns:xsi="http://www.w3.org/2001/XMLSchema-instance" xsi:type="dcterms:W3CDTF">2019-01-28T13:14:17Z</dcterms:modified>
  <cp:lastModifiedBy>Herm</cp:lastModifiedBy>
</cp:coreProperties>
</file>